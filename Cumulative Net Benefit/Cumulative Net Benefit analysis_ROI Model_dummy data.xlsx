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180"/>
  </bookViews>
  <sheets>
    <sheet name="ROI Model" sheetId="1" r:id="rId1"/>
    <sheet name="Cumulative Net Benefit Analysis" sheetId="2" r:id="rId2"/>
    <sheet name="LYO2 ROI Model old" sheetId="7" state="hidden" r:id="rId3"/>
    <sheet name="LYO2 ROI Model (old)" sheetId="8" state="hidden" r:id="rId4"/>
    <sheet name="PAR3 ROI Model (old)" sheetId="11" state="hidden" r:id="rId5"/>
    <sheet name="MAD1 ROI Model" sheetId="12" state="hidden" r:id="rId6"/>
    <sheet name="Tx Forecast" sheetId="19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<sst xmlns="http://schemas.openxmlformats.org/spreadsheetml/2006/main" count="651" uniqueCount="250">
  <si>
    <t>All the data are dummy</t>
  </si>
  <si>
    <t>Inputs</t>
  </si>
  <si>
    <t>Daily Peak Volumes (with presorting)</t>
  </si>
  <si>
    <t>Daily Peak Volumes (w/o presorting)</t>
  </si>
  <si>
    <t>Hourly rate</t>
  </si>
  <si>
    <t>Year</t>
  </si>
  <si>
    <t>Working hours per day</t>
  </si>
  <si>
    <t>Incremental Hourly S1 Sort Required</t>
  </si>
  <si>
    <t>Working hours per day per worker</t>
  </si>
  <si>
    <t>Incremental Hourly S2 Sort Required</t>
  </si>
  <si>
    <t>Working days per year</t>
  </si>
  <si>
    <t>Incremental S1 Sort</t>
  </si>
  <si>
    <t>&lt;-- excluding Monk conveyor</t>
  </si>
  <si>
    <t>Peak months per year</t>
  </si>
  <si>
    <t>Incremental S2 Sort</t>
  </si>
  <si>
    <t>&lt;-- excluding Libiao platform</t>
  </si>
  <si>
    <t>Off-peak vs peak volumes</t>
  </si>
  <si>
    <t>S2 presorted %</t>
  </si>
  <si>
    <t>YoY growth</t>
  </si>
  <si>
    <t>S1 on Monk</t>
  </si>
  <si>
    <t>&lt;-- assuming Monk conveyor removed</t>
  </si>
  <si>
    <t>S2 on Libiao</t>
  </si>
  <si>
    <t>&lt;-- assuming 12.5K uph over 18 hours</t>
  </si>
  <si>
    <t>Total S1 Sort</t>
  </si>
  <si>
    <t>&lt;-- based on Q4'25 capacity model</t>
  </si>
  <si>
    <t>Total S2 Sort</t>
  </si>
  <si>
    <t>Scenario</t>
  </si>
  <si>
    <t>Manual</t>
  </si>
  <si>
    <t xml:space="preserve">Option A </t>
  </si>
  <si>
    <t xml:space="preserve">Option B </t>
  </si>
  <si>
    <t>Option C</t>
  </si>
  <si>
    <t xml:space="preserve">Option D </t>
  </si>
  <si>
    <t>% downtime</t>
  </si>
  <si>
    <t>% parcels to PS</t>
  </si>
  <si>
    <t>% non-robotable/conveyable parcels to PS</t>
  </si>
  <si>
    <t>% damaged/non readeable parcels to PS</t>
  </si>
  <si>
    <t>% robotable/conveyable parcels to PS</t>
  </si>
  <si>
    <t>Process</t>
  </si>
  <si>
    <t>Task</t>
  </si>
  <si>
    <t>Volumes</t>
  </si>
  <si>
    <t>UPH</t>
  </si>
  <si>
    <t>HC</t>
  </si>
  <si>
    <t>CPP</t>
  </si>
  <si>
    <t>Headcount</t>
  </si>
  <si>
    <t>Inbound</t>
  </si>
  <si>
    <t>Dock operative</t>
  </si>
  <si>
    <t>S1+S2 presorted</t>
  </si>
  <si>
    <t>Cage waterspider inbound</t>
  </si>
  <si>
    <t>S1</t>
  </si>
  <si>
    <t>Pallet waterspider</t>
  </si>
  <si>
    <t>Conveyor feeder (conveyor, manual PS)</t>
  </si>
  <si>
    <t>Conveyor feeder (conveyor, no manual PS)</t>
  </si>
  <si>
    <t>S1+S2</t>
  </si>
  <si>
    <t>Platform feeder (robot)</t>
  </si>
  <si>
    <t>Sortation</t>
  </si>
  <si>
    <t>Manual mid-mile sort</t>
  </si>
  <si>
    <t>S0</t>
  </si>
  <si>
    <t>Parcels inductor (manual PS)</t>
  </si>
  <si>
    <t>Parcels inductor (conveyor, no manual PS)</t>
  </si>
  <si>
    <t>Parcel inductor (robot)</t>
  </si>
  <si>
    <t>Manual point sort + Bag off-loader</t>
  </si>
  <si>
    <t>S2</t>
  </si>
  <si>
    <t>Pallet off-loader (manual PS)</t>
  </si>
  <si>
    <t>Cage waterspider (manual PS)</t>
  </si>
  <si>
    <t>Pallet off-loader (no manual PS)*</t>
  </si>
  <si>
    <t>S1+S2 not presorted</t>
  </si>
  <si>
    <t>Bag off-loader (no manual PS)*</t>
  </si>
  <si>
    <t>Outbound</t>
  </si>
  <si>
    <t>Cage waterspider outbound*</t>
  </si>
  <si>
    <t>FIFO operatives*</t>
  </si>
  <si>
    <t>Problem solvers</t>
  </si>
  <si>
    <t>Team leads</t>
  </si>
  <si>
    <t>3 HC per shift</t>
  </si>
  <si>
    <t>Fixed</t>
  </si>
  <si>
    <t>Buffer vendor HC underestimates</t>
  </si>
  <si>
    <t>Break/SoS</t>
  </si>
  <si>
    <t>30min per HC</t>
  </si>
  <si>
    <t>Downtime</t>
  </si>
  <si>
    <t>Based on downtime %</t>
  </si>
  <si>
    <t>2029 Peak</t>
  </si>
  <si>
    <t>2029 Off-peak</t>
  </si>
  <si>
    <t>Financials</t>
  </si>
  <si>
    <t>Yearly Maintenance Costs</t>
  </si>
  <si>
    <t>2029 HC cost</t>
  </si>
  <si>
    <t>Automation Capex</t>
  </si>
  <si>
    <t>Automation Capex - Robots/Sorter</t>
  </si>
  <si>
    <t>Automation Capex - Platform (sourcing + commissioning)</t>
  </si>
  <si>
    <t>Automation Capex - Induction Stations</t>
  </si>
  <si>
    <t>Automation Capex - Tipper</t>
  </si>
  <si>
    <t>ROI vs Manual</t>
  </si>
  <si>
    <t>ROI Calculations</t>
  </si>
  <si>
    <t>HC Costs</t>
  </si>
  <si>
    <t>2026 HC costs</t>
  </si>
  <si>
    <t>2027 HC costs</t>
  </si>
  <si>
    <t>2028 HC costs</t>
  </si>
  <si>
    <t>2029 HC costs</t>
  </si>
  <si>
    <t>Savings</t>
  </si>
  <si>
    <t>2026 Savings</t>
  </si>
  <si>
    <t>2027 Savings</t>
  </si>
  <si>
    <t>2028 Savings</t>
  </si>
  <si>
    <t>2029 Savings</t>
  </si>
  <si>
    <t>Option A</t>
  </si>
  <si>
    <t>Option B</t>
  </si>
  <si>
    <t>Option D</t>
  </si>
  <si>
    <t>Capex</t>
  </si>
  <si>
    <t>Maint</t>
  </si>
  <si>
    <t>2026 saving</t>
  </si>
  <si>
    <t>2027 saving</t>
  </si>
  <si>
    <t>2028 saving</t>
  </si>
  <si>
    <t>2029 saving</t>
  </si>
  <si>
    <t>Start</t>
  </si>
  <si>
    <t>see also</t>
  </si>
  <si>
    <t>IB/OB Investment Case</t>
  </si>
  <si>
    <t>Hourly S1 Sort</t>
  </si>
  <si>
    <t>Hourly S2 Sort</t>
  </si>
  <si>
    <t>Monk
(conveyor w/ manual PS)</t>
  </si>
  <si>
    <t>Libiao
(tray robot)</t>
  </si>
  <si>
    <t>Eurosort
(split tray conveyor)</t>
  </si>
  <si>
    <t>Bowe
(push tray conveyor)</t>
  </si>
  <si>
    <t>Actemium
(split tray conveyor)</t>
  </si>
  <si>
    <t>Actemium
(Intralox or split tray conveyor w/ manual PS)</t>
  </si>
  <si>
    <t>Vanderlande (cross-belt conveyor)</t>
  </si>
  <si>
    <t>Addverb (belt robot)</t>
  </si>
  <si>
    <t>Manual point sort (conveyors)</t>
  </si>
  <si>
    <t>Bag off-loader (manual PS)</t>
  </si>
  <si>
    <t>Automation Capex - Platform</t>
  </si>
  <si>
    <t>included</t>
  </si>
  <si>
    <t>Automation Capex - Other</t>
  </si>
  <si>
    <t>* UPH based on these files:</t>
  </si>
  <si>
    <r>
      <rPr>
        <i/>
        <u/>
        <sz val="8"/>
        <color rgb="FF1155CC"/>
        <rFont val="宋体"/>
        <charset val="134"/>
      </rPr>
      <t>https://docs.google.com/spreadsheets/d/1wd1sUJRxVS_jIxDFf1vPi_ZidwQXHKRUdEhZITixe_M/edit?gid=26619310#gid=26619310</t>
    </r>
  </si>
  <si>
    <t>https://docs.google.com/spreadsheets/d/1LZNgXurN-F8T91jaVKKlQv3jif8aQuy1jSNw4n0N-Lg/edit?gid=1862343260#gid=1862343260</t>
  </si>
  <si>
    <t>Daily Peak Volumes (based on Capacity model with presorting)</t>
  </si>
  <si>
    <t>Name</t>
  </si>
  <si>
    <t>Libiao</t>
  </si>
  <si>
    <t>Eurosort</t>
  </si>
  <si>
    <t>Bowe</t>
  </si>
  <si>
    <t>Actemium (manual PS)</t>
  </si>
  <si>
    <t>Actemium (split tray)</t>
  </si>
  <si>
    <t>Vanderlande</t>
  </si>
  <si>
    <t>Unbox</t>
  </si>
  <si>
    <t>Fives</t>
  </si>
  <si>
    <t>Addverb</t>
  </si>
  <si>
    <t>Transitic</t>
  </si>
  <si>
    <t>Falcon Autotech</t>
  </si>
  <si>
    <t>Wayzim</t>
  </si>
  <si>
    <t>Conveyor (Monk)</t>
  </si>
  <si>
    <t>Automated (Libiao)</t>
  </si>
  <si>
    <t>Automated (Eurosort)</t>
  </si>
  <si>
    <t>Automated (Bowe)</t>
  </si>
  <si>
    <t>Automated (Actemium)</t>
  </si>
  <si>
    <t>Automated (Vanderlande)</t>
  </si>
  <si>
    <t>Automated (Unbox)</t>
  </si>
  <si>
    <t>Automated (Fives)</t>
  </si>
  <si>
    <t>Automated (Addverb)</t>
  </si>
  <si>
    <t>Automated (Transitic)</t>
  </si>
  <si>
    <t>Automated (Falcon Autotech)</t>
  </si>
  <si>
    <t>Automated (Wayzim)</t>
  </si>
  <si>
    <t>Cage Waterspider Inbound</t>
  </si>
  <si>
    <t>Pallet Waterspider</t>
  </si>
  <si>
    <t>Conveyor Feeder</t>
  </si>
  <si>
    <t>Platform Feeder</t>
  </si>
  <si>
    <t>Parcels Inductors (Conveyor)</t>
  </si>
  <si>
    <t>Parcel Inductors (robot platform)</t>
  </si>
  <si>
    <t>Point Sorters (Manual)</t>
  </si>
  <si>
    <t>Pallet Off-loaders</t>
  </si>
  <si>
    <t>Bag Off-loaders</t>
  </si>
  <si>
    <t>Cage Waterspider Outbound (without AMR)</t>
  </si>
  <si>
    <t>FIFO Operatives</t>
  </si>
  <si>
    <t>Buffer for vendor HC underestimations</t>
  </si>
  <si>
    <t>2029 HC required for peak</t>
  </si>
  <si>
    <t>2029 HC required for off-peak</t>
  </si>
  <si>
    <t>ROI period vs Scenario 0
based on 2029 volumes (in years)</t>
  </si>
  <si>
    <t>2029 Peak CPP</t>
  </si>
  <si>
    <t>ROI</t>
  </si>
  <si>
    <t>Peak Daily Volumes</t>
  </si>
  <si>
    <t>S1 to Mid-Mile pallets</t>
  </si>
  <si>
    <t>-</t>
  </si>
  <si>
    <t>S1 to wave pallets</t>
  </si>
  <si>
    <t>S1 to bags</t>
  </si>
  <si>
    <t>S2 presorted to bags</t>
  </si>
  <si>
    <t>S2 wave to bags</t>
  </si>
  <si>
    <t>Number</t>
  </si>
  <si>
    <t>Auto Sort</t>
  </si>
  <si>
    <t>Auto Sort/OB</t>
  </si>
  <si>
    <t>Auto Sort/OB/IB 1</t>
  </si>
  <si>
    <t>Auto Sort/OB/IB 2</t>
  </si>
  <si>
    <t>Automated (Quicktron)</t>
  </si>
  <si>
    <t>Automated (Solystic)</t>
  </si>
  <si>
    <t>Manual (Conveyor)</t>
  </si>
  <si>
    <t>Parcel Inductors (Libiao)</t>
  </si>
  <si>
    <t>Cage Waterspider Outbound (with AMR)</t>
  </si>
  <si>
    <t>Total HC required for peak</t>
  </si>
  <si>
    <t>Total HC required for off-peak</t>
  </si>
  <si>
    <t>Yearly HC cost</t>
  </si>
  <si>
    <t>ROI vs Previous Scenario (years)</t>
  </si>
  <si>
    <t>2029 Sort CPP</t>
  </si>
  <si>
    <t>Max Daily Capacity</t>
  </si>
  <si>
    <t>Daily Sort Cost / Max Daily Capacity</t>
  </si>
  <si>
    <t>1. S1 VOLUME</t>
  </si>
  <si>
    <t>Total volume</t>
  </si>
  <si>
    <t>PAR3 MM IB</t>
  </si>
  <si>
    <t>S1 volume</t>
  </si>
  <si>
    <t>Monthly</t>
  </si>
  <si>
    <t>DRIVER COLLECTIONS</t>
  </si>
  <si>
    <t>MM inbound from other hub</t>
  </si>
  <si>
    <t>Presort</t>
  </si>
  <si>
    <t>Primary sort needed</t>
  </si>
  <si>
    <t>Average day</t>
  </si>
  <si>
    <t>LYO1 MM IB</t>
  </si>
  <si>
    <t>2. DRIVER COLLECTIONS SPLIT</t>
  </si>
  <si>
    <t>Driver collections</t>
  </si>
  <si>
    <t>PAR3</t>
  </si>
  <si>
    <t>Driver Collections &gt; X</t>
  </si>
  <si>
    <t>LYO1</t>
  </si>
  <si>
    <t>ES/PT</t>
  </si>
  <si>
    <t>IT</t>
  </si>
  <si>
    <t>BE/NL</t>
  </si>
  <si>
    <t>Total</t>
  </si>
  <si>
    <t>1,120,173</t>
  </si>
  <si>
    <t>1,192,725</t>
  </si>
  <si>
    <t>1,518,986</t>
  </si>
  <si>
    <t>1,514,711</t>
  </si>
  <si>
    <t>1,601,775</t>
  </si>
  <si>
    <t>1,493,014</t>
  </si>
  <si>
    <t>1,309,453</t>
  </si>
  <si>
    <t>1,045,239</t>
  </si>
  <si>
    <t>1,984,824</t>
  </si>
  <si>
    <t>2,310,638</t>
  </si>
  <si>
    <t>2,368,297</t>
  </si>
  <si>
    <t>1,986,295</t>
  </si>
  <si>
    <t>% Staying in PAR3</t>
  </si>
  <si>
    <t>% Going to LYO1</t>
  </si>
  <si>
    <t>Peak day</t>
  </si>
  <si>
    <t>International outbound</t>
  </si>
  <si>
    <t>Total month</t>
  </si>
  <si>
    <t>share of all driver collections</t>
  </si>
  <si>
    <t>494,229</t>
  </si>
  <si>
    <t>526,039</t>
  </si>
  <si>
    <t>668,560</t>
  </si>
  <si>
    <t>664,511</t>
  </si>
  <si>
    <t>701,108</t>
  </si>
  <si>
    <t>651,671</t>
  </si>
  <si>
    <t>570,147</t>
  </si>
  <si>
    <t>454,984</t>
  </si>
  <si>
    <t>863,398</t>
  </si>
  <si>
    <t>1,003,957</t>
  </si>
  <si>
    <t>1,032,589</t>
  </si>
  <si>
    <t>870,053</t>
  </si>
  <si>
    <t>% Staying in LYO1</t>
  </si>
  <si>
    <t>% Going to PAR3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</si>
</sst>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;[Red]\-#,##0;\-__"/>
    <numFmt numFmtId="178" formatCode="[$€]#,##0.00"/>
    <numFmt numFmtId="179" formatCode="[$€]#,##0"/>
    <numFmt numFmtId="180" formatCode="0.0"/>
    <numFmt numFmtId="181" formatCode="#,##0.00\ &quot;M&quot;"/>
  </numFmts>
  <fonts count="56">
    <font>
      <sz val="10"/>
      <color rgb="FF000000"/>
      <name val="Arial"/>
      <charset val="134"/>
      <scheme val="minor"/>
    </font>
    <font>
      <b/>
      <sz val="14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9900FF"/>
      <name val="Arial"/>
      <charset val="134"/>
    </font>
    <font>
      <b/>
      <sz val="10"/>
      <color rgb="FF9900FF"/>
      <name val="Arial"/>
      <charset val="134"/>
    </font>
    <font>
      <sz val="10"/>
      <color rgb="FFE06666"/>
      <name val="Arial"/>
      <charset val="134"/>
    </font>
    <font>
      <sz val="10"/>
      <color rgb="FF9900FF"/>
      <name val="Arial"/>
      <charset val="134"/>
      <scheme val="minor"/>
    </font>
    <font>
      <i/>
      <sz val="10"/>
      <color theme="1"/>
      <name val="Arial"/>
      <charset val="134"/>
    </font>
    <font>
      <i/>
      <sz val="8"/>
      <color theme="1"/>
      <name val="Arial"/>
      <charset val="134"/>
      <scheme val="minor"/>
    </font>
    <font>
      <i/>
      <u/>
      <sz val="8"/>
      <color rgb="FF0000FF"/>
      <name val="Arial"/>
      <charset val="134"/>
      <scheme val="minor"/>
    </font>
    <font>
      <b/>
      <sz val="8"/>
      <color theme="1"/>
      <name val="Arial"/>
      <charset val="134"/>
      <scheme val="minor"/>
    </font>
    <font>
      <sz val="10"/>
      <name val="Arial"/>
      <charset val="134"/>
      <scheme val="minor"/>
    </font>
    <font>
      <sz val="8"/>
      <color theme="1"/>
      <name val="Arial"/>
      <charset val="134"/>
      <scheme val="minor"/>
    </font>
    <font>
      <i/>
      <sz val="6"/>
      <color theme="1"/>
      <name val="Arial"/>
      <charset val="134"/>
      <scheme val="minor"/>
    </font>
    <font>
      <b/>
      <sz val="8"/>
      <color rgb="FFFFFFFF"/>
      <name val="Arial"/>
      <charset val="134"/>
      <scheme val="minor"/>
    </font>
    <font>
      <b/>
      <sz val="8"/>
      <color rgb="FF000000"/>
      <name val="Arial"/>
      <charset val="134"/>
      <scheme val="minor"/>
    </font>
    <font>
      <i/>
      <sz val="8"/>
      <color rgb="FF000000"/>
      <name val="Arial"/>
      <charset val="134"/>
      <scheme val="minor"/>
    </font>
    <font>
      <i/>
      <sz val="6"/>
      <color rgb="FF000000"/>
      <name val="Arial"/>
      <charset val="134"/>
      <scheme val="minor"/>
    </font>
    <font>
      <sz val="6"/>
      <color rgb="FFFFFFFF"/>
      <name val="Arial"/>
      <charset val="134"/>
      <scheme val="minor"/>
    </font>
    <font>
      <sz val="6"/>
      <color rgb="FF000000"/>
      <name val="Arial"/>
      <charset val="134"/>
      <scheme val="minor"/>
    </font>
    <font>
      <b/>
      <sz val="6"/>
      <color rgb="FF000000"/>
      <name val="Arial"/>
      <charset val="134"/>
      <scheme val="minor"/>
    </font>
    <font>
      <sz val="6"/>
      <color theme="1"/>
      <name val="Arial"/>
      <charset val="134"/>
      <scheme val="minor"/>
    </font>
    <font>
      <b/>
      <sz val="6"/>
      <color theme="1"/>
      <name val="Arial"/>
      <charset val="134"/>
      <scheme val="minor"/>
    </font>
    <font>
      <b/>
      <i/>
      <sz val="7"/>
      <color rgb="FFFFFFFF"/>
      <name val="Arial"/>
      <charset val="134"/>
      <scheme val="minor"/>
    </font>
    <font>
      <b/>
      <i/>
      <sz val="7"/>
      <color theme="1"/>
      <name val="Arial"/>
      <charset val="134"/>
      <scheme val="minor"/>
    </font>
    <font>
      <i/>
      <sz val="7"/>
      <color theme="1"/>
      <name val="Arial"/>
      <charset val="134"/>
      <scheme val="minor"/>
    </font>
    <font>
      <sz val="6"/>
      <color rgb="FFEFEFEF"/>
      <name val="Arial"/>
      <charset val="134"/>
      <scheme val="minor"/>
    </font>
    <font>
      <sz val="8"/>
      <color rgb="FF000000"/>
      <name val="Arial"/>
      <charset val="134"/>
      <scheme val="minor"/>
    </font>
    <font>
      <b/>
      <sz val="10"/>
      <color rgb="FF000000"/>
      <name val="&quot;Google Sans Text&quot;"/>
      <charset val="134"/>
    </font>
    <font>
      <sz val="10"/>
      <color rgb="FF000000"/>
      <name val="&quot;Google Sans Text&quot;"/>
      <charset val="134"/>
    </font>
    <font>
      <b/>
      <i/>
      <sz val="8"/>
      <color rgb="FFFFFFFF"/>
      <name val="Arial"/>
      <charset val="134"/>
      <scheme val="minor"/>
    </font>
    <font>
      <b/>
      <i/>
      <sz val="8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u/>
      <sz val="8"/>
      <color rgb="FF1155CC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EDEDE"/>
        <bgColor rgb="FFDEDEDE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1" borderId="59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0" applyNumberFormat="0" applyFill="0" applyAlignment="0" applyProtection="0">
      <alignment vertical="center"/>
    </xf>
    <xf numFmtId="0" fontId="42" fillId="0" borderId="60" applyNumberFormat="0" applyFill="0" applyAlignment="0" applyProtection="0">
      <alignment vertical="center"/>
    </xf>
    <xf numFmtId="0" fontId="43" fillId="0" borderId="6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62" applyNumberFormat="0" applyAlignment="0" applyProtection="0">
      <alignment vertical="center"/>
    </xf>
    <xf numFmtId="0" fontId="45" fillId="13" borderId="63" applyNumberFormat="0" applyAlignment="0" applyProtection="0">
      <alignment vertical="center"/>
    </xf>
    <xf numFmtId="0" fontId="46" fillId="13" borderId="62" applyNumberFormat="0" applyAlignment="0" applyProtection="0">
      <alignment vertical="center"/>
    </xf>
    <xf numFmtId="0" fontId="47" fillId="14" borderId="64" applyNumberFormat="0" applyAlignment="0" applyProtection="0">
      <alignment vertical="center"/>
    </xf>
    <xf numFmtId="0" fontId="48" fillId="0" borderId="65" applyNumberFormat="0" applyFill="0" applyAlignment="0" applyProtection="0">
      <alignment vertical="center"/>
    </xf>
    <xf numFmtId="0" fontId="49" fillId="0" borderId="66" applyNumberFormat="0" applyFill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</cellStyleXfs>
  <cellXfs count="28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/>
    <xf numFmtId="3" fontId="2" fillId="0" borderId="0" xfId="0" applyNumberFormat="1" applyFont="1" applyAlignment="1"/>
    <xf numFmtId="0" fontId="2" fillId="3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4" fillId="4" borderId="0" xfId="0" applyFont="1" applyFill="1" applyAlignment="1"/>
    <xf numFmtId="176" fontId="4" fillId="4" borderId="0" xfId="0" applyNumberFormat="1" applyFont="1" applyFill="1" applyAlignment="1">
      <alignment horizontal="right"/>
    </xf>
    <xf numFmtId="0" fontId="4" fillId="5" borderId="0" xfId="0" applyFont="1" applyFill="1" applyAlignment="1"/>
    <xf numFmtId="3" fontId="4" fillId="5" borderId="0" xfId="0" applyNumberFormat="1" applyFont="1" applyFill="1" applyAlignment="1">
      <alignment horizontal="right"/>
    </xf>
    <xf numFmtId="0" fontId="4" fillId="6" borderId="0" xfId="0" applyFont="1" applyFill="1" applyAlignment="1"/>
    <xf numFmtId="3" fontId="4" fillId="6" borderId="0" xfId="0" applyNumberFormat="1" applyFont="1" applyFill="1" applyAlignment="1">
      <alignment horizontal="right"/>
    </xf>
    <xf numFmtId="3" fontId="5" fillId="6" borderId="0" xfId="0" applyNumberFormat="1" applyFont="1" applyFill="1" applyAlignment="1">
      <alignment horizontal="right"/>
    </xf>
    <xf numFmtId="0" fontId="4" fillId="6" borderId="1" xfId="0" applyFont="1" applyFill="1" applyBorder="1" applyAlignment="1"/>
    <xf numFmtId="3" fontId="4" fillId="6" borderId="1" xfId="0" applyNumberFormat="1" applyFont="1" applyFill="1" applyBorder="1" applyAlignment="1">
      <alignment horizontal="right"/>
    </xf>
    <xf numFmtId="177" fontId="4" fillId="4" borderId="0" xfId="0" applyNumberFormat="1" applyFont="1" applyFill="1" applyAlignment="1">
      <alignment horizontal="right"/>
    </xf>
    <xf numFmtId="0" fontId="4" fillId="7" borderId="0" xfId="0" applyFont="1" applyFill="1" applyAlignment="1"/>
    <xf numFmtId="0" fontId="3" fillId="8" borderId="1" xfId="0" applyFont="1" applyFill="1" applyBorder="1" applyAlignment="1"/>
    <xf numFmtId="3" fontId="4" fillId="8" borderId="1" xfId="0" applyNumberFormat="1" applyFont="1" applyFill="1" applyBorder="1" applyAlignment="1">
      <alignment horizontal="right"/>
    </xf>
    <xf numFmtId="0" fontId="6" fillId="8" borderId="0" xfId="0" applyFont="1" applyFill="1" applyAlignment="1"/>
    <xf numFmtId="10" fontId="5" fillId="8" borderId="0" xfId="0" applyNumberFormat="1" applyFont="1" applyFill="1" applyAlignment="1">
      <alignment horizontal="right"/>
    </xf>
    <xf numFmtId="9" fontId="4" fillId="4" borderId="0" xfId="0" applyNumberFormat="1" applyFont="1" applyFill="1" applyAlignment="1">
      <alignment horizontal="right"/>
    </xf>
    <xf numFmtId="3" fontId="7" fillId="5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3" fontId="7" fillId="6" borderId="0" xfId="0" applyNumberFormat="1" applyFont="1" applyFill="1" applyAlignment="1">
      <alignment horizontal="right"/>
    </xf>
    <xf numFmtId="3" fontId="7" fillId="6" borderId="1" xfId="0" applyNumberFormat="1" applyFont="1" applyFill="1" applyBorder="1" applyAlignment="1">
      <alignment horizontal="right"/>
    </xf>
    <xf numFmtId="3" fontId="7" fillId="8" borderId="1" xfId="0" applyNumberFormat="1" applyFont="1" applyFill="1" applyBorder="1" applyAlignment="1">
      <alignment horizontal="right"/>
    </xf>
    <xf numFmtId="10" fontId="7" fillId="8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4" fillId="6" borderId="0" xfId="0" applyFont="1" applyFill="1" applyAlignment="1">
      <alignment horizontal="right"/>
    </xf>
    <xf numFmtId="10" fontId="4" fillId="5" borderId="0" xfId="0" applyNumberFormat="1" applyFont="1" applyFill="1" applyAlignment="1">
      <alignment horizontal="right"/>
    </xf>
    <xf numFmtId="0" fontId="8" fillId="0" borderId="0" xfId="0" applyFont="1"/>
    <xf numFmtId="0" fontId="9" fillId="6" borderId="1" xfId="0" applyFont="1" applyFill="1" applyBorder="1" applyAlignment="1"/>
    <xf numFmtId="10" fontId="4" fillId="6" borderId="1" xfId="0" applyNumberFormat="1" applyFont="1" applyFill="1" applyBorder="1" applyAlignment="1">
      <alignment horizontal="right"/>
    </xf>
    <xf numFmtId="10" fontId="7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2" fillId="0" borderId="2" xfId="0" applyFont="1" applyBorder="1" applyAlignment="1">
      <alignment horizontal="center" vertical="center" wrapText="1"/>
    </xf>
    <xf numFmtId="178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9" fontId="14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8" xfId="0" applyFont="1" applyBorder="1"/>
    <xf numFmtId="0" fontId="12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15" fillId="3" borderId="5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10" xfId="0" applyFont="1" applyBorder="1"/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3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" fontId="14" fillId="0" borderId="5" xfId="0" applyNumberFormat="1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79" fontId="14" fillId="0" borderId="5" xfId="0" applyNumberFormat="1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180" fontId="12" fillId="0" borderId="5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/>
    </xf>
    <xf numFmtId="9" fontId="12" fillId="0" borderId="5" xfId="0" applyNumberFormat="1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3" fontId="19" fillId="9" borderId="5" xfId="0" applyNumberFormat="1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 wrapText="1"/>
    </xf>
    <xf numFmtId="3" fontId="19" fillId="3" borderId="5" xfId="0" applyNumberFormat="1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 wrapText="1"/>
    </xf>
    <xf numFmtId="9" fontId="19" fillId="9" borderId="5" xfId="0" applyNumberFormat="1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12" fillId="9" borderId="2" xfId="0" applyFont="1" applyFill="1" applyBorder="1" applyAlignment="1">
      <alignment horizontal="center" vertical="center"/>
    </xf>
    <xf numFmtId="0" fontId="14" fillId="0" borderId="0" xfId="0" applyFont="1" applyAlignment="1"/>
    <xf numFmtId="3" fontId="14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left" vertical="center"/>
    </xf>
    <xf numFmtId="0" fontId="16" fillId="2" borderId="5" xfId="0" applyFont="1" applyFill="1" applyBorder="1" applyAlignment="1">
      <alignment horizontal="center" vertical="center" wrapText="1"/>
    </xf>
    <xf numFmtId="1" fontId="14" fillId="3" borderId="5" xfId="0" applyNumberFormat="1" applyFont="1" applyFill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0" fontId="2" fillId="9" borderId="5" xfId="0" applyFont="1" applyFill="1" applyBorder="1"/>
    <xf numFmtId="0" fontId="16" fillId="2" borderId="9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3" fillId="0" borderId="16" xfId="0" applyFont="1" applyBorder="1"/>
    <xf numFmtId="0" fontId="13" fillId="0" borderId="17" xfId="0" applyFont="1" applyBorder="1"/>
    <xf numFmtId="0" fontId="20" fillId="2" borderId="7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13" fillId="0" borderId="19" xfId="0" applyFont="1" applyBorder="1"/>
    <xf numFmtId="0" fontId="13" fillId="0" borderId="20" xfId="0" applyFont="1" applyBorder="1"/>
    <xf numFmtId="0" fontId="17" fillId="9" borderId="21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horizontal="center" vertical="center"/>
    </xf>
    <xf numFmtId="3" fontId="21" fillId="9" borderId="15" xfId="0" applyNumberFormat="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3" fontId="21" fillId="9" borderId="2" xfId="0" applyNumberFormat="1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/>
    </xf>
    <xf numFmtId="9" fontId="21" fillId="9" borderId="2" xfId="0" applyNumberFormat="1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1" fontId="24" fillId="9" borderId="15" xfId="0" applyNumberFormat="1" applyFont="1" applyFill="1" applyBorder="1" applyAlignment="1">
      <alignment horizontal="center" vertical="center"/>
    </xf>
    <xf numFmtId="1" fontId="24" fillId="9" borderId="9" xfId="0" applyNumberFormat="1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180" fontId="17" fillId="9" borderId="18" xfId="0" applyNumberFormat="1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horizontal="center" vertical="center" wrapText="1"/>
    </xf>
    <xf numFmtId="0" fontId="26" fillId="9" borderId="22" xfId="0" applyFont="1" applyFill="1" applyBorder="1" applyAlignment="1">
      <alignment horizontal="center" vertical="center"/>
    </xf>
    <xf numFmtId="0" fontId="26" fillId="9" borderId="15" xfId="0" applyFont="1" applyFill="1" applyBorder="1" applyAlignment="1">
      <alignment horizontal="center" vertical="center"/>
    </xf>
    <xf numFmtId="179" fontId="27" fillId="9" borderId="23" xfId="0" applyNumberFormat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179" fontId="27" fillId="9" borderId="3" xfId="0" applyNumberFormat="1" applyFont="1" applyFill="1" applyBorder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26" fillId="9" borderId="18" xfId="0" applyFont="1" applyFill="1" applyBorder="1" applyAlignment="1">
      <alignment horizontal="center" vertical="center"/>
    </xf>
    <xf numFmtId="179" fontId="27" fillId="9" borderId="19" xfId="0" applyNumberFormat="1" applyFont="1" applyFill="1" applyBorder="1" applyAlignment="1">
      <alignment horizontal="center" vertical="center"/>
    </xf>
    <xf numFmtId="0" fontId="11" fillId="0" borderId="0" xfId="0" applyFont="1" applyAlignment="1"/>
    <xf numFmtId="0" fontId="16" fillId="2" borderId="28" xfId="0" applyFont="1" applyFill="1" applyBorder="1" applyAlignment="1">
      <alignment horizontal="center" vertical="center" wrapText="1"/>
    </xf>
    <xf numFmtId="9" fontId="17" fillId="9" borderId="29" xfId="0" applyNumberFormat="1" applyFont="1" applyFill="1" applyBorder="1" applyAlignment="1">
      <alignment horizontal="center" vertical="center" wrapText="1"/>
    </xf>
    <xf numFmtId="0" fontId="13" fillId="0" borderId="30" xfId="0" applyFont="1" applyBorder="1"/>
    <xf numFmtId="9" fontId="17" fillId="9" borderId="16" xfId="0" applyNumberFormat="1" applyFont="1" applyFill="1" applyBorder="1" applyAlignment="1">
      <alignment horizontal="center" vertical="center" wrapText="1"/>
    </xf>
    <xf numFmtId="9" fontId="17" fillId="9" borderId="31" xfId="0" applyNumberFormat="1" applyFont="1" applyFill="1" applyBorder="1" applyAlignment="1">
      <alignment horizontal="center" vertical="center" wrapText="1"/>
    </xf>
    <xf numFmtId="0" fontId="13" fillId="0" borderId="32" xfId="0" applyFont="1" applyBorder="1"/>
    <xf numFmtId="9" fontId="21" fillId="9" borderId="31" xfId="0" applyNumberFormat="1" applyFont="1" applyFill="1" applyBorder="1" applyAlignment="1">
      <alignment horizontal="center" vertical="center" wrapText="1"/>
    </xf>
    <xf numFmtId="9" fontId="21" fillId="9" borderId="3" xfId="0" applyNumberFormat="1" applyFont="1" applyFill="1" applyBorder="1" applyAlignment="1">
      <alignment horizontal="center" vertical="center" wrapText="1"/>
    </xf>
    <xf numFmtId="9" fontId="21" fillId="9" borderId="33" xfId="0" applyNumberFormat="1" applyFont="1" applyFill="1" applyBorder="1" applyAlignment="1">
      <alignment horizontal="center" vertical="center" wrapText="1"/>
    </xf>
    <xf numFmtId="0" fontId="13" fillId="0" borderId="34" xfId="0" applyFont="1" applyBorder="1"/>
    <xf numFmtId="9" fontId="21" fillId="9" borderId="19" xfId="0" applyNumberFormat="1" applyFont="1" applyFill="1" applyBorder="1" applyAlignment="1">
      <alignment horizontal="center" vertical="center" wrapText="1"/>
    </xf>
    <xf numFmtId="0" fontId="17" fillId="9" borderId="3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7" fillId="9" borderId="36" xfId="0" applyFont="1" applyFill="1" applyBorder="1" applyAlignment="1">
      <alignment horizontal="center" vertical="center" wrapText="1"/>
    </xf>
    <xf numFmtId="0" fontId="17" fillId="9" borderId="37" xfId="0" applyFont="1" applyFill="1" applyBorder="1" applyAlignment="1">
      <alignment horizontal="center" vertical="center" wrapText="1"/>
    </xf>
    <xf numFmtId="3" fontId="21" fillId="0" borderId="38" xfId="0" applyNumberFormat="1" applyFont="1" applyBorder="1" applyAlignment="1">
      <alignment horizontal="center" vertical="center"/>
    </xf>
    <xf numFmtId="1" fontId="23" fillId="0" borderId="39" xfId="0" applyNumberFormat="1" applyFont="1" applyBorder="1" applyAlignment="1">
      <alignment horizontal="center" vertical="center"/>
    </xf>
    <xf numFmtId="178" fontId="23" fillId="0" borderId="15" xfId="0" applyNumberFormat="1" applyFont="1" applyBorder="1" applyAlignment="1">
      <alignment horizontal="center" vertical="center"/>
    </xf>
    <xf numFmtId="3" fontId="21" fillId="0" borderId="31" xfId="0" applyNumberFormat="1" applyFont="1" applyBorder="1" applyAlignment="1">
      <alignment horizontal="center" vertical="center"/>
    </xf>
    <xf numFmtId="1" fontId="23" fillId="0" borderId="5" xfId="0" applyNumberFormat="1" applyFont="1" applyBorder="1" applyAlignment="1">
      <alignment horizontal="center" vertical="center"/>
    </xf>
    <xf numFmtId="178" fontId="23" fillId="0" borderId="2" xfId="0" applyNumberFormat="1" applyFont="1" applyBorder="1" applyAlignment="1">
      <alignment horizontal="center" vertical="center"/>
    </xf>
    <xf numFmtId="3" fontId="21" fillId="0" borderId="40" xfId="0" applyNumberFormat="1" applyFont="1" applyBorder="1" applyAlignment="1">
      <alignment horizontal="center" vertical="center"/>
    </xf>
    <xf numFmtId="3" fontId="21" fillId="0" borderId="5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3" fontId="23" fillId="0" borderId="40" xfId="0" applyNumberFormat="1" applyFont="1" applyBorder="1" applyAlignment="1">
      <alignment horizontal="center" vertical="center"/>
    </xf>
    <xf numFmtId="3" fontId="23" fillId="0" borderId="31" xfId="0" applyNumberFormat="1" applyFont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178" fontId="23" fillId="0" borderId="4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1" fontId="23" fillId="0" borderId="3" xfId="0" applyNumberFormat="1" applyFont="1" applyBorder="1" applyAlignment="1">
      <alignment horizontal="center" vertical="center"/>
    </xf>
    <xf numFmtId="1" fontId="23" fillId="0" borderId="40" xfId="0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178" fontId="23" fillId="0" borderId="9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" fillId="9" borderId="40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1" fontId="28" fillId="9" borderId="8" xfId="0" applyNumberFormat="1" applyFont="1" applyFill="1" applyBorder="1" applyAlignment="1">
      <alignment horizontal="center" vertical="center"/>
    </xf>
    <xf numFmtId="178" fontId="23" fillId="0" borderId="13" xfId="0" applyNumberFormat="1" applyFont="1" applyBorder="1" applyAlignment="1">
      <alignment horizontal="center" vertical="center"/>
    </xf>
    <xf numFmtId="0" fontId="28" fillId="9" borderId="43" xfId="0" applyFont="1" applyFill="1" applyBorder="1" applyAlignment="1">
      <alignment horizontal="center" vertical="center"/>
    </xf>
    <xf numFmtId="1" fontId="28" fillId="9" borderId="7" xfId="0" applyNumberFormat="1" applyFont="1" applyFill="1" applyBorder="1" applyAlignment="1">
      <alignment horizontal="center" vertical="center"/>
    </xf>
    <xf numFmtId="1" fontId="24" fillId="0" borderId="38" xfId="0" applyNumberFormat="1" applyFont="1" applyBorder="1" applyAlignment="1">
      <alignment horizontal="center" vertical="center"/>
    </xf>
    <xf numFmtId="1" fontId="24" fillId="0" borderId="39" xfId="0" applyNumberFormat="1" applyFont="1" applyBorder="1" applyAlignment="1">
      <alignment horizontal="center" vertical="center"/>
    </xf>
    <xf numFmtId="178" fontId="24" fillId="0" borderId="15" xfId="0" applyNumberFormat="1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178" fontId="24" fillId="0" borderId="9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44" xfId="0" applyNumberFormat="1" applyFont="1" applyBorder="1" applyAlignment="1">
      <alignment horizontal="center" vertical="center"/>
    </xf>
    <xf numFmtId="179" fontId="14" fillId="9" borderId="31" xfId="0" applyNumberFormat="1" applyFont="1" applyFill="1" applyBorder="1" applyAlignment="1">
      <alignment horizontal="center" vertical="center"/>
    </xf>
    <xf numFmtId="179" fontId="14" fillId="9" borderId="3" xfId="0" applyNumberFormat="1" applyFont="1" applyFill="1" applyBorder="1" applyAlignment="1">
      <alignment horizontal="center" vertical="center"/>
    </xf>
    <xf numFmtId="179" fontId="23" fillId="9" borderId="31" xfId="0" applyNumberFormat="1" applyFont="1" applyFill="1" applyBorder="1" applyAlignment="1">
      <alignment horizontal="center" vertical="center"/>
    </xf>
    <xf numFmtId="179" fontId="23" fillId="9" borderId="3" xfId="0" applyNumberFormat="1" applyFont="1" applyFill="1" applyBorder="1" applyAlignment="1">
      <alignment horizontal="center" vertical="center"/>
    </xf>
    <xf numFmtId="179" fontId="23" fillId="0" borderId="31" xfId="0" applyNumberFormat="1" applyFont="1" applyBorder="1" applyAlignment="1">
      <alignment horizontal="center" vertical="center"/>
    </xf>
    <xf numFmtId="180" fontId="14" fillId="9" borderId="33" xfId="0" applyNumberFormat="1" applyFont="1" applyFill="1" applyBorder="1" applyAlignment="1">
      <alignment horizontal="center" vertical="center"/>
    </xf>
    <xf numFmtId="180" fontId="14" fillId="9" borderId="19" xfId="0" applyNumberFormat="1" applyFont="1" applyFill="1" applyBorder="1" applyAlignment="1">
      <alignment horizontal="center" vertical="center"/>
    </xf>
    <xf numFmtId="179" fontId="27" fillId="0" borderId="29" xfId="0" applyNumberFormat="1" applyFont="1" applyBorder="1" applyAlignment="1">
      <alignment horizontal="center" vertical="center"/>
    </xf>
    <xf numFmtId="179" fontId="27" fillId="0" borderId="31" xfId="0" applyNumberFormat="1" applyFont="1" applyBorder="1" applyAlignment="1">
      <alignment horizontal="center" vertical="center"/>
    </xf>
    <xf numFmtId="179" fontId="27" fillId="9" borderId="31" xfId="0" applyNumberFormat="1" applyFont="1" applyFill="1" applyBorder="1" applyAlignment="1">
      <alignment horizontal="center" vertical="center"/>
    </xf>
    <xf numFmtId="179" fontId="27" fillId="9" borderId="33" xfId="0" applyNumberFormat="1" applyFont="1" applyFill="1" applyBorder="1" applyAlignment="1">
      <alignment horizontal="center" vertical="center"/>
    </xf>
    <xf numFmtId="179" fontId="27" fillId="0" borderId="33" xfId="0" applyNumberFormat="1" applyFont="1" applyBorder="1" applyAlignment="1">
      <alignment horizontal="center" vertical="center"/>
    </xf>
    <xf numFmtId="1" fontId="28" fillId="9" borderId="5" xfId="0" applyNumberFormat="1" applyFont="1" applyFill="1" applyBorder="1" applyAlignment="1">
      <alignment horizontal="center" vertical="center"/>
    </xf>
    <xf numFmtId="179" fontId="14" fillId="9" borderId="32" xfId="0" applyNumberFormat="1" applyFont="1" applyFill="1" applyBorder="1" applyAlignment="1">
      <alignment horizontal="center" vertical="center"/>
    </xf>
    <xf numFmtId="179" fontId="12" fillId="0" borderId="3" xfId="0" applyNumberFormat="1" applyFont="1" applyBorder="1" applyAlignment="1">
      <alignment horizontal="center" vertical="center"/>
    </xf>
    <xf numFmtId="179" fontId="23" fillId="0" borderId="3" xfId="0" applyNumberFormat="1" applyFont="1" applyBorder="1" applyAlignment="1">
      <alignment horizontal="center" vertical="center"/>
    </xf>
    <xf numFmtId="180" fontId="12" fillId="0" borderId="33" xfId="0" applyNumberFormat="1" applyFont="1" applyBorder="1" applyAlignment="1">
      <alignment horizontal="center" vertical="center"/>
    </xf>
    <xf numFmtId="0" fontId="13" fillId="0" borderId="45" xfId="0" applyFont="1" applyBorder="1"/>
    <xf numFmtId="9" fontId="17" fillId="9" borderId="3" xfId="0" applyNumberFormat="1" applyFont="1" applyFill="1" applyBorder="1" applyAlignment="1">
      <alignment horizontal="center" vertical="center" wrapText="1"/>
    </xf>
    <xf numFmtId="178" fontId="23" fillId="0" borderId="46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78" fontId="23" fillId="0" borderId="47" xfId="0" applyNumberFormat="1" applyFont="1" applyBorder="1" applyAlignment="1">
      <alignment horizontal="center" vertical="center"/>
    </xf>
    <xf numFmtId="0" fontId="13" fillId="0" borderId="48" xfId="0" applyFont="1" applyBorder="1"/>
    <xf numFmtId="179" fontId="12" fillId="0" borderId="31" xfId="0" applyNumberFormat="1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80" fontId="12" fillId="0" borderId="19" xfId="0" applyNumberFormat="1" applyFont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 wrapText="1"/>
    </xf>
    <xf numFmtId="0" fontId="29" fillId="9" borderId="17" xfId="0" applyFont="1" applyFill="1" applyBorder="1" applyAlignment="1">
      <alignment horizontal="center" vertical="center" wrapText="1"/>
    </xf>
    <xf numFmtId="0" fontId="29" fillId="9" borderId="39" xfId="0" applyFont="1" applyFill="1" applyBorder="1" applyAlignment="1">
      <alignment horizontal="center" vertical="center" wrapText="1"/>
    </xf>
    <xf numFmtId="0" fontId="29" fillId="9" borderId="15" xfId="0" applyFont="1" applyFill="1" applyBorder="1" applyAlignment="1">
      <alignment horizontal="center" vertical="center" wrapText="1"/>
    </xf>
    <xf numFmtId="178" fontId="24" fillId="0" borderId="47" xfId="0" applyNumberFormat="1" applyFont="1" applyBorder="1" applyAlignment="1">
      <alignment horizontal="center" vertical="center"/>
    </xf>
    <xf numFmtId="0" fontId="29" fillId="9" borderId="37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 wrapText="1"/>
    </xf>
    <xf numFmtId="0" fontId="29" fillId="9" borderId="49" xfId="0" applyFont="1" applyFill="1" applyBorder="1" applyAlignment="1">
      <alignment horizontal="center" vertical="center" wrapText="1"/>
    </xf>
    <xf numFmtId="178" fontId="24" fillId="0" borderId="46" xfId="0" applyNumberFormat="1" applyFont="1" applyBorder="1" applyAlignment="1">
      <alignment horizontal="center" vertical="center"/>
    </xf>
    <xf numFmtId="0" fontId="2" fillId="0" borderId="50" xfId="0" applyFont="1" applyBorder="1"/>
    <xf numFmtId="0" fontId="30" fillId="0" borderId="51" xfId="0" applyFont="1" applyBorder="1" applyAlignment="1"/>
    <xf numFmtId="0" fontId="30" fillId="0" borderId="52" xfId="0" applyFont="1" applyBorder="1" applyAlignment="1">
      <alignment horizontal="left"/>
    </xf>
    <xf numFmtId="0" fontId="31" fillId="0" borderId="0" xfId="0" applyFont="1" applyAlignment="1"/>
    <xf numFmtId="0" fontId="30" fillId="0" borderId="53" xfId="0" applyFont="1" applyBorder="1" applyAlignment="1">
      <alignment horizontal="left"/>
    </xf>
    <xf numFmtId="0" fontId="31" fillId="0" borderId="54" xfId="0" applyFont="1" applyBorder="1" applyAlignment="1"/>
    <xf numFmtId="0" fontId="30" fillId="0" borderId="0" xfId="0" applyFont="1" applyAlignment="1"/>
    <xf numFmtId="0" fontId="2" fillId="0" borderId="52" xfId="0" applyFont="1" applyBorder="1" applyAlignment="1">
      <alignment horizontal="right"/>
    </xf>
    <xf numFmtId="0" fontId="2" fillId="0" borderId="0" xfId="0" applyFont="1"/>
    <xf numFmtId="0" fontId="2" fillId="0" borderId="52" xfId="0" applyFont="1" applyBorder="1" applyAlignment="1"/>
    <xf numFmtId="0" fontId="2" fillId="0" borderId="53" xfId="0" applyFont="1" applyBorder="1" applyAlignment="1"/>
    <xf numFmtId="0" fontId="2" fillId="0" borderId="54" xfId="0" applyFont="1" applyBorder="1"/>
    <xf numFmtId="0" fontId="30" fillId="0" borderId="55" xfId="0" applyFont="1" applyBorder="1" applyAlignment="1"/>
    <xf numFmtId="0" fontId="31" fillId="0" borderId="56" xfId="0" applyFont="1" applyBorder="1" applyAlignment="1"/>
    <xf numFmtId="0" fontId="31" fillId="0" borderId="57" xfId="0" applyFont="1" applyBorder="1" applyAlignment="1"/>
    <xf numFmtId="0" fontId="2" fillId="0" borderId="56" xfId="0" applyFont="1" applyBorder="1"/>
    <xf numFmtId="0" fontId="2" fillId="0" borderId="58" xfId="0" applyFont="1" applyBorder="1"/>
    <xf numFmtId="181" fontId="31" fillId="0" borderId="54" xfId="0" applyNumberFormat="1" applyFont="1" applyBorder="1" applyAlignment="1"/>
    <xf numFmtId="181" fontId="31" fillId="0" borderId="57" xfId="0" applyNumberFormat="1" applyFont="1" applyBorder="1" applyAlignment="1"/>
    <xf numFmtId="178" fontId="12" fillId="10" borderId="5" xfId="0" applyNumberFormat="1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3" fontId="12" fillId="10" borderId="5" xfId="0" applyNumberFormat="1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 wrapText="1"/>
    </xf>
    <xf numFmtId="3" fontId="33" fillId="0" borderId="5" xfId="0" applyNumberFormat="1" applyFont="1" applyBorder="1" applyAlignment="1">
      <alignment horizontal="center" vertical="center"/>
    </xf>
    <xf numFmtId="0" fontId="34" fillId="0" borderId="0" xfId="0" applyFont="1"/>
    <xf numFmtId="179" fontId="14" fillId="10" borderId="29" xfId="0" applyNumberFormat="1" applyFont="1" applyFill="1" applyBorder="1" applyAlignment="1">
      <alignment horizontal="center" vertical="center"/>
    </xf>
    <xf numFmtId="179" fontId="12" fillId="10" borderId="31" xfId="0" applyNumberFormat="1" applyFont="1" applyFill="1" applyBorder="1" applyAlignment="1">
      <alignment horizontal="center" vertical="center"/>
    </xf>
    <xf numFmtId="0" fontId="3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66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9">
    <tableStyle name="Tx Forecast-style" pivot="0" count="3" xr9:uid="{BFDA5B57-2D50-3AB0-2AE8-3E693E9384AC}">
      <tableStyleElement type="headerRow" dxfId="309"/>
      <tableStyleElement type="firstRowStripe" dxfId="308"/>
      <tableStyleElement type="secondRowStripe" dxfId="307"/>
    </tableStyle>
    <tableStyle name="Tx Forecast-style 2" pivot="0" count="3" xr9:uid="{BB18C7F4-FA17-3595-2AE8-3E6928234A05}">
      <tableStyleElement type="headerRow" dxfId="312"/>
      <tableStyleElement type="firstRowStripe" dxfId="311"/>
      <tableStyleElement type="secondRowStripe" dxfId="310"/>
    </tableStyle>
    <tableStyle name="Tx Forecast-style 3" pivot="0" count="3" xr9:uid="{3083A8E9-CE2C-A90E-2AE8-3E69A4AA250F}">
      <tableStyleElement type="headerRow" dxfId="315"/>
      <tableStyleElement type="firstRowStripe" dxfId="314"/>
      <tableStyleElement type="secondRowStripe" dxfId="313"/>
    </tableStyle>
    <tableStyle name="Tx Forecast-style 4" pivot="0" count="3" xr9:uid="{6694D12F-3B1A-3B97-2AE8-3E6983F5DC01}">
      <tableStyleElement type="headerRow" dxfId="318"/>
      <tableStyleElement type="firstRowStripe" dxfId="317"/>
      <tableStyleElement type="secondRowStripe" dxfId="316"/>
    </tableStyle>
    <tableStyle name="Tx Forecast-style 5" pivot="0" count="3" xr9:uid="{42824D1F-8B7F-6068-2AE8-3E69E805BA5A}">
      <tableStyleElement type="headerRow" dxfId="321"/>
      <tableStyleElement type="firstRowStripe" dxfId="320"/>
      <tableStyleElement type="secondRowStripe" dxfId="319"/>
    </tableStyle>
    <tableStyle name="Tx Forecast-style 6" pivot="0" count="3" xr9:uid="{BD367807-1C28-BD9D-2AE8-3E69B8BB1B39}">
      <tableStyleElement type="headerRow" dxfId="324"/>
      <tableStyleElement type="firstRowStripe" dxfId="323"/>
      <tableStyleElement type="secondRowStripe" dxfId="322"/>
    </tableStyle>
    <tableStyle name="Tx Forecast-style 7" pivot="0" count="3" xr9:uid="{612FEB53-DD44-1EB7-2AE8-3E6993F8B526}">
      <tableStyleElement type="totalRow" dxfId="327"/>
      <tableStyleElement type="firstRowStripe" dxfId="326"/>
      <tableStyleElement type="secondRowStripe" dxfId="325"/>
    </tableStyle>
    <tableStyle name="Tx Forecast-style 8" pivot="0" count="2" xr9:uid="{F45D3739-37E0-0F9D-2AE8-3E69A0BE388A}">
      <tableStyleElement type="firstRowStripe" dxfId="329"/>
      <tableStyleElement type="secondRowStripe" dxfId="328"/>
    </tableStyle>
    <tableStyle name="Tx Forecast-style 9" pivot="0" count="4" xr9:uid="{F28B84F1-529F-1A41-2AE8-3E69CFCD18B0}">
      <tableStyleElement type="headerRow" dxfId="333"/>
      <tableStyleElement type="totalRow" dxfId="332"/>
      <tableStyleElement type="firstRowStripe" dxfId="331"/>
      <tableStyleElement type="secondRowStripe" dxfId="330"/>
    </tableStyle>
    <tableStyle name="Tx Forecast-style 10" pivot="0" count="4" xr9:uid="{8D1B1529-F61E-1731-2AE8-3E6949BF56FD}">
      <tableStyleElement type="headerRow" dxfId="337"/>
      <tableStyleElement type="totalRow" dxfId="336"/>
      <tableStyleElement type="firstRowStripe" dxfId="335"/>
      <tableStyleElement type="secondRowStripe" dxfId="334"/>
    </tableStyle>
    <tableStyle name="Tx Forecast-style 11" pivot="0" count="3" xr9:uid="{EC657B4F-8036-FC8B-2AE8-3E695E0E510E}">
      <tableStyleElement type="headerRow" dxfId="340"/>
      <tableStyleElement type="firstRowStripe" dxfId="339"/>
      <tableStyleElement type="secondRowStripe" dxfId="338"/>
    </tableStyle>
    <tableStyle name="Tx Forecast-style 12" pivot="0" count="3" xr9:uid="{0FF11273-905E-8642-2AE8-3E690725A517}">
      <tableStyleElement type="headerRow" dxfId="343"/>
      <tableStyleElement type="firstRowStripe" dxfId="342"/>
      <tableStyleElement type="secondRowStripe" dxfId="341"/>
    </tableStyle>
    <tableStyle name="Tx Forecast-style 13" pivot="0" count="3" xr9:uid="{4DE2571B-C0ED-E517-2AE8-3E69C0347CA4}">
      <tableStyleElement type="headerRow" dxfId="346"/>
      <tableStyleElement type="firstRowStripe" dxfId="345"/>
      <tableStyleElement type="secondRowStripe" dxfId="344"/>
    </tableStyle>
    <tableStyle name="Tx Forecast-style 14" pivot="0" count="2" xr9:uid="{0BCF294F-B0CB-2ABA-2AE8-3E69C5A9333F}">
      <tableStyleElement type="firstRowStripe" dxfId="348"/>
      <tableStyleElement type="secondRowStripe" dxfId="347"/>
    </tableStyle>
    <tableStyle name="Tx Forecast-style 15" pivot="0" count="3" xr9:uid="{72DA68FE-6CD0-EF61-2AE8-3E69B1426E4F}">
      <tableStyleElement type="totalRow" dxfId="351"/>
      <tableStyleElement type="firstRowStripe" dxfId="350"/>
      <tableStyleElement type="secondRowStripe" dxfId="349"/>
    </tableStyle>
    <tableStyle name="Tx Forecast-style 16" pivot="0" count="4" xr9:uid="{F65F87EA-6560-AEA7-2AE8-3E69DB49CAE6}">
      <tableStyleElement type="headerRow" dxfId="355"/>
      <tableStyleElement type="totalRow" dxfId="354"/>
      <tableStyleElement type="firstRowStripe" dxfId="353"/>
      <tableStyleElement type="secondRowStripe" dxfId="352"/>
    </tableStyle>
    <tableStyle name="Tx Forecast-style 17" pivot="0" count="3" xr9:uid="{7D150D71-6D9A-A9C3-2AE8-3E690AFC08C5}">
      <tableStyleElement type="totalRow" dxfId="358"/>
      <tableStyleElement type="firstRowStripe" dxfId="357"/>
      <tableStyleElement type="secondRowStripe" dxfId="356"/>
    </tableStyle>
    <tableStyle name="Tx Forecast-style 18" pivot="0" count="4" xr9:uid="{55671531-068E-E253-2AE8-3E69583AD4D7}">
      <tableStyleElement type="headerRow" dxfId="362"/>
      <tableStyleElement type="totalRow" dxfId="361"/>
      <tableStyleElement type="firstRowStripe" dxfId="360"/>
      <tableStyleElement type="secondRowStripe" dxfId="359"/>
    </tableStyle>
    <tableStyle name="Tx Forecast-style 19" pivot="0" count="3" xr9:uid="{D5452C05-205E-A8CE-2AE8-3E69E643CF13}">
      <tableStyleElement type="headerRow" dxfId="365"/>
      <tableStyleElement type="firstRowStripe" dxfId="364"/>
      <tableStyleElement type="secondRowStripe" dxfId="36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2000" b="1" i="0" u="none" strike="noStrike" kern="1200" baseline="0">
                <a:solidFill>
                  <a:srgbClr val="134F5C"/>
                </a:solidFill>
                <a:latin typeface="Arial" panose="020B0604020202090204"/>
                <a:ea typeface="+mn-ea"/>
                <a:cs typeface="+mn-cs"/>
              </a:defRPr>
            </a:pPr>
            <a:r>
              <a:rPr sz="2000" b="1">
                <a:solidFill>
                  <a:srgbClr val="134F5C"/>
                </a:solidFill>
                <a:latin typeface="Arial" panose="020B0604020202090204"/>
              </a:rPr>
              <a:t>Cumulative Net Benefit Analysis</a:t>
            </a:r>
            <a:endParaRPr sz="2000" b="1">
              <a:solidFill>
                <a:srgbClr val="134F5C"/>
              </a:solidFill>
              <a:latin typeface="Arial" panose="020B060402020209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"Option A"</c:f>
              <c:strCache>
                <c:ptCount val="1"/>
                <c:pt idx="0">
                  <c:v>Option A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'Cumulative Net Benefit Analysis'!$B$12:$B$15</c:f>
              <c:numCache>
                <c:formatCode>General</c:formatCod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numCache>
            </c:numRef>
          </c:cat>
          <c:val>
            <c:numRef>
              <c:f>'Cumulative Net Benefit Analysis'!$C$12:$C$15</c:f>
              <c:numCache>
                <c:formatCode>General</c:formatCode>
                <c:ptCount val="4"/>
                <c:pt idx="0">
                  <c:v>1646681</c:v>
                </c:pt>
                <c:pt idx="1">
                  <c:v>5185926</c:v>
                </c:pt>
                <c:pt idx="2">
                  <c:v>9885504</c:v>
                </c:pt>
                <c:pt idx="3">
                  <c:v>16093516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"Option B"</c:f>
              <c:strCache>
                <c:ptCount val="1"/>
                <c:pt idx="0">
                  <c:v>Option B</c:v>
                </c:pt>
              </c:strCache>
            </c:strRef>
          </c:tx>
          <c:spPr>
            <a:ln w="19050" cap="rnd" cmpd="sng" algn="ctr">
              <a:solidFill>
                <a:srgbClr val="E06666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'Cumulative Net Benefit Analysis'!$B$12:$B$15</c:f>
              <c:numCache>
                <c:formatCode>General</c:formatCod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numCache>
            </c:numRef>
          </c:cat>
          <c:val>
            <c:numRef>
              <c:f>'Cumulative Net Benefit Analysis'!$D$12:$D$15</c:f>
              <c:numCache>
                <c:formatCode>General</c:formatCode>
                <c:ptCount val="4"/>
                <c:pt idx="0">
                  <c:v>4320964</c:v>
                </c:pt>
                <c:pt idx="1">
                  <c:v>11047217</c:v>
                </c:pt>
                <c:pt idx="2">
                  <c:v>19951346</c:v>
                </c:pt>
                <c:pt idx="3">
                  <c:v>31686714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"Option C"</c:f>
              <c:strCache>
                <c:ptCount val="1"/>
                <c:pt idx="0">
                  <c:v>Option C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'Cumulative Net Benefit Analysis'!$B$12:$B$15</c:f>
              <c:numCache>
                <c:formatCode>General</c:formatCod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numCache>
            </c:numRef>
          </c:cat>
          <c:val>
            <c:numRef>
              <c:f>'Cumulative Net Benefit Analysis'!$E$12:$E$15</c:f>
              <c:numCache>
                <c:formatCode>General</c:formatCode>
                <c:ptCount val="4"/>
                <c:pt idx="0">
                  <c:v>4000964</c:v>
                </c:pt>
                <c:pt idx="1">
                  <c:v>10559170</c:v>
                </c:pt>
                <c:pt idx="2">
                  <c:v>19324837</c:v>
                </c:pt>
                <c:pt idx="3">
                  <c:v>30960205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"Option D"</c:f>
              <c:strCache>
                <c:ptCount val="1"/>
                <c:pt idx="0">
                  <c:v>Option D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</c:spPr>
          </c:marker>
          <c:dPt>
            <c:idx val="2"/>
            <c:marker>
              <c:symbol val="none"/>
            </c:marker>
            <c:bubble3D val="0"/>
          </c:dPt>
          <c:dLbls>
            <c:delete val="1"/>
          </c:dLbls>
          <c:cat>
            <c:numRef>
              <c:f>'Cumulative Net Benefit Analysis'!$B$12:$B$15</c:f>
              <c:numCache>
                <c:formatCode>General</c:formatCod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numCache>
            </c:numRef>
          </c:cat>
          <c:val>
            <c:numRef>
              <c:f>'Cumulative Net Benefit Analysis'!$F$12:$F$15</c:f>
              <c:numCache>
                <c:formatCode>General</c:formatCode>
                <c:ptCount val="4"/>
                <c:pt idx="0">
                  <c:v>3649343</c:v>
                </c:pt>
                <c:pt idx="1">
                  <c:v>12296289</c:v>
                </c:pt>
                <c:pt idx="2">
                  <c:v>23857318</c:v>
                </c:pt>
                <c:pt idx="3">
                  <c:v>39206656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78364"/>
        <c:axId val="925617269"/>
      </c:lineChart>
      <c:catAx>
        <c:axId val="4054783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zh-CN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Start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5617269"/>
        <c:crosses val="autoZero"/>
        <c:auto val="1"/>
        <c:lblAlgn val="ctr"/>
        <c:lblOffset val="100"/>
        <c:noMultiLvlLbl val="0"/>
      </c:catAx>
      <c:valAx>
        <c:axId val="92561726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&quot;€&quot;#.0\ &quot;M&quot;" sourceLinked="0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0547836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d175fc-9306-4228-a79a-ed0a6388e4c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'Cumulative Net Benefit Analysis'!$H$11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 w="9525" cmpd="sng">
              <a:solidFill>
                <a:schemeClr val="dk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DBDB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'Cumulative Net Benefit Analysis'!$I$10:$J$10</c:f>
              <c:strCache>
                <c:ptCount val="2"/>
                <c:pt idx="0">
                  <c:v>Option B</c:v>
                </c:pt>
                <c:pt idx="1">
                  <c:v>Option D</c:v>
                </c:pt>
              </c:strCache>
            </c:strRef>
          </c:cat>
          <c:val>
            <c:numRef>
              <c:f>'Cumulative Net Benefit Analysis'!$I$11:$J$11</c:f>
              <c:numCache>
                <c:formatCode>#,##0.00\ "M"</c:formatCode>
                <c:ptCount val="2"/>
                <c:pt idx="0">
                  <c:v>0.73</c:v>
                </c:pt>
                <c:pt idx="1">
                  <c:v>2.756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50319151"/>
        <c:axId val="1631539455"/>
      </c:barChart>
      <c:catAx>
        <c:axId val="1450319151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"/>
              <c:y val="0.00746268656716418"/>
            </c:manualLayout>
          </c:layout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31539455"/>
        <c:crosses val="autoZero"/>
        <c:auto val="1"/>
        <c:lblAlgn val="ctr"/>
        <c:lblOffset val="100"/>
        <c:noMultiLvlLbl val="0"/>
      </c:catAx>
      <c:valAx>
        <c:axId val="1631539455"/>
        <c:scaling>
          <c:orientation val="minMax"/>
        </c:scaling>
        <c:delete val="1"/>
        <c:axPos val="l"/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numFmt formatCode="#,##0&quot; M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FFFF"/>
                </a:solidFill>
                <a:latin typeface="Arial" panose="020B0604020202090204"/>
                <a:ea typeface="+mn-ea"/>
                <a:cs typeface="+mn-cs"/>
              </a:defRPr>
            </a:pPr>
          </a:p>
        </c:txPr>
        <c:crossAx val="145031915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4e43dc-20d5-478e-9c4f-4491e6f2e61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18</xdr:row>
      <xdr:rowOff>152400</xdr:rowOff>
    </xdr:from>
    <xdr:ext cx="8084185" cy="4915535"/>
    <xdr:graphicFrame>
      <xdr:nvGraphicFramePr>
        <xdr:cNvPr id="2" name="Chart 1" title="Chart"/>
        <xdr:cNvGraphicFramePr/>
      </xdr:nvGraphicFramePr>
      <xdr:xfrm>
        <a:off x="898525" y="3752850"/>
        <a:ext cx="8084185" cy="491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621030</xdr:colOff>
      <xdr:row>22</xdr:row>
      <xdr:rowOff>188595</xdr:rowOff>
    </xdr:from>
    <xdr:ext cx="1671955" cy="1654175"/>
    <xdr:graphicFrame>
      <xdr:nvGraphicFramePr>
        <xdr:cNvPr id="3" name="Chart 2" title="Chart"/>
        <xdr:cNvGraphicFramePr/>
      </xdr:nvGraphicFramePr>
      <xdr:xfrm>
        <a:off x="2418080" y="4589145"/>
        <a:ext cx="1671955" cy="1654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923925</xdr:colOff>
      <xdr:row>0</xdr:row>
      <xdr:rowOff>0</xdr:rowOff>
    </xdr:from>
    <xdr:ext cx="5172075" cy="4248150"/>
    <xdr:pic>
      <xdr:nvPicPr>
        <xdr:cNvPr id="4" name="image1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0782300" y="0"/>
          <a:ext cx="5172075" cy="42481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6:AL11" headerRowCount="0">
  <tableColumns count="38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Column28" dataDxfId="27"/>
    <tableColumn id="29" name="Column29" dataDxfId="28"/>
    <tableColumn id="30" name="Column30" dataDxfId="29"/>
    <tableColumn id="31" name="Column31" dataDxfId="30"/>
    <tableColumn id="32" name="Column32" dataDxfId="31"/>
    <tableColumn id="33" name="Column33" dataDxfId="32"/>
    <tableColumn id="34" name="Column34" dataDxfId="33"/>
    <tableColumn id="35" name="Column35" dataDxfId="34"/>
    <tableColumn id="36" name="Column36" dataDxfId="35"/>
    <tableColumn id="37" name="Column37" dataDxfId="36"/>
    <tableColumn id="38" name="Column38" dataDxfId="37"/>
  </tableColumns>
  <tableStyleInfo name="Tx Forecas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3:AL18" headerRowCount="0">
  <tableColumns count="38">
    <tableColumn id="1" name="Column1" dataDxfId="38"/>
    <tableColumn id="2" name="Column2" dataDxfId="39"/>
    <tableColumn id="3" name="Column3" dataDxfId="40"/>
    <tableColumn id="4" name="Column4" dataDxfId="41"/>
    <tableColumn id="5" name="Column5" dataDxfId="42"/>
    <tableColumn id="6" name="Column6" dataDxfId="43"/>
    <tableColumn id="7" name="Column7" dataDxfId="44"/>
    <tableColumn id="8" name="Column8" dataDxfId="45"/>
    <tableColumn id="9" name="Column9" dataDxfId="46"/>
    <tableColumn id="10" name="Column10" dataDxfId="47"/>
    <tableColumn id="11" name="Column11" dataDxfId="48"/>
    <tableColumn id="12" name="Column12" dataDxfId="49"/>
    <tableColumn id="13" name="Column13" dataDxfId="50"/>
    <tableColumn id="14" name="Column14" dataDxfId="51"/>
    <tableColumn id="15" name="Column15" dataDxfId="52"/>
    <tableColumn id="16" name="Column16" dataDxfId="53"/>
    <tableColumn id="17" name="Column17" dataDxfId="54"/>
    <tableColumn id="18" name="Column18" dataDxfId="55"/>
    <tableColumn id="19" name="Column19" dataDxfId="56"/>
    <tableColumn id="20" name="Column20" dataDxfId="57"/>
    <tableColumn id="21" name="Column21" dataDxfId="58"/>
    <tableColumn id="22" name="Column22" dataDxfId="59"/>
    <tableColumn id="23" name="Column23" dataDxfId="60"/>
    <tableColumn id="24" name="Column24" dataDxfId="61"/>
    <tableColumn id="25" name="Column25" dataDxfId="62"/>
    <tableColumn id="26" name="Column26" dataDxfId="63"/>
    <tableColumn id="27" name="Column27" dataDxfId="64"/>
    <tableColumn id="28" name="Column28" dataDxfId="65"/>
    <tableColumn id="29" name="Column29" dataDxfId="66"/>
    <tableColumn id="30" name="Column30" dataDxfId="67"/>
    <tableColumn id="31" name="Column31" dataDxfId="68"/>
    <tableColumn id="32" name="Column32" dataDxfId="69"/>
    <tableColumn id="33" name="Column33" dataDxfId="70"/>
    <tableColumn id="34" name="Column34" dataDxfId="71"/>
    <tableColumn id="35" name="Column35" dataDxfId="72"/>
    <tableColumn id="36" name="Column36" dataDxfId="73"/>
    <tableColumn id="37" name="Column37" dataDxfId="74"/>
    <tableColumn id="38" name="Column38" dataDxfId="75"/>
  </tableColumns>
  <tableStyleInfo name="Tx Forecas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5:AL30" headerRowCount="0">
  <tableColumns count="38">
    <tableColumn id="1" name="Column1" dataDxfId="76"/>
    <tableColumn id="2" name="Column2" dataDxfId="77"/>
    <tableColumn id="3" name="Column3" dataDxfId="78"/>
    <tableColumn id="4" name="Column4" dataDxfId="79"/>
    <tableColumn id="5" name="Column5" dataDxfId="80"/>
    <tableColumn id="6" name="Column6" dataDxfId="81"/>
    <tableColumn id="7" name="Column7" dataDxfId="82"/>
    <tableColumn id="8" name="Column8" dataDxfId="83"/>
    <tableColumn id="9" name="Column9" dataDxfId="84"/>
    <tableColumn id="10" name="Column10" dataDxfId="85"/>
    <tableColumn id="11" name="Column11" dataDxfId="86"/>
    <tableColumn id="12" name="Column12" dataDxfId="87"/>
    <tableColumn id="13" name="Column13" dataDxfId="88"/>
    <tableColumn id="14" name="Column14" dataDxfId="89"/>
    <tableColumn id="15" name="Column15" dataDxfId="90"/>
    <tableColumn id="16" name="Column16" dataDxfId="91"/>
    <tableColumn id="17" name="Column17" dataDxfId="92"/>
    <tableColumn id="18" name="Column18" dataDxfId="93"/>
    <tableColumn id="19" name="Column19" dataDxfId="94"/>
    <tableColumn id="20" name="Column20" dataDxfId="95"/>
    <tableColumn id="21" name="Column21" dataDxfId="96"/>
    <tableColumn id="22" name="Column22" dataDxfId="97"/>
    <tableColumn id="23" name="Column23" dataDxfId="98"/>
    <tableColumn id="24" name="Column24" dataDxfId="99"/>
    <tableColumn id="25" name="Column25" dataDxfId="100"/>
    <tableColumn id="26" name="Column26" dataDxfId="101"/>
    <tableColumn id="27" name="Column27" dataDxfId="102"/>
    <tableColumn id="28" name="Column28" dataDxfId="103"/>
    <tableColumn id="29" name="Column29" dataDxfId="104"/>
    <tableColumn id="30" name="Column30" dataDxfId="105"/>
    <tableColumn id="31" name="Column31" dataDxfId="106"/>
    <tableColumn id="32" name="Column32" dataDxfId="107"/>
    <tableColumn id="33" name="Column33" dataDxfId="108"/>
    <tableColumn id="34" name="Column34" dataDxfId="109"/>
    <tableColumn id="35" name="Column35" dataDxfId="110"/>
    <tableColumn id="36" name="Column36" dataDxfId="111"/>
    <tableColumn id="37" name="Column37" dataDxfId="112"/>
    <tableColumn id="38" name="Column38" dataDxfId="113"/>
  </tableColumns>
  <tableStyleInfo name="Tx Forecast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32:AL37" headerRowCount="0">
  <tableColumns count="38">
    <tableColumn id="1" name="Column1" dataDxfId="114"/>
    <tableColumn id="2" name="Column2" dataDxfId="115"/>
    <tableColumn id="3" name="Column3" dataDxfId="116"/>
    <tableColumn id="4" name="Column4" dataDxfId="117"/>
    <tableColumn id="5" name="Column5" dataDxfId="118"/>
    <tableColumn id="6" name="Column6" dataDxfId="119"/>
    <tableColumn id="7" name="Column7" dataDxfId="120"/>
    <tableColumn id="8" name="Column8" dataDxfId="121"/>
    <tableColumn id="9" name="Column9" dataDxfId="122"/>
    <tableColumn id="10" name="Column10" dataDxfId="123"/>
    <tableColumn id="11" name="Column11" dataDxfId="124"/>
    <tableColumn id="12" name="Column12" dataDxfId="125"/>
    <tableColumn id="13" name="Column13" dataDxfId="126"/>
    <tableColumn id="14" name="Column14" dataDxfId="127"/>
    <tableColumn id="15" name="Column15" dataDxfId="128"/>
    <tableColumn id="16" name="Column16" dataDxfId="129"/>
    <tableColumn id="17" name="Column17" dataDxfId="130"/>
    <tableColumn id="18" name="Column18" dataDxfId="131"/>
    <tableColumn id="19" name="Column19" dataDxfId="132"/>
    <tableColumn id="20" name="Column20" dataDxfId="133"/>
    <tableColumn id="21" name="Column21" dataDxfId="134"/>
    <tableColumn id="22" name="Column22" dataDxfId="135"/>
    <tableColumn id="23" name="Column23" dataDxfId="136"/>
    <tableColumn id="24" name="Column24" dataDxfId="137"/>
    <tableColumn id="25" name="Column25" dataDxfId="138"/>
    <tableColumn id="26" name="Column26" dataDxfId="139"/>
    <tableColumn id="27" name="Column27" dataDxfId="140"/>
    <tableColumn id="28" name="Column28" dataDxfId="141"/>
    <tableColumn id="29" name="Column29" dataDxfId="142"/>
    <tableColumn id="30" name="Column30" dataDxfId="143"/>
    <tableColumn id="31" name="Column31" dataDxfId="144"/>
    <tableColumn id="32" name="Column32" dataDxfId="145"/>
    <tableColumn id="33" name="Column33" dataDxfId="146"/>
    <tableColumn id="34" name="Column34" dataDxfId="147"/>
    <tableColumn id="35" name="Column35" dataDxfId="148"/>
    <tableColumn id="36" name="Column36" dataDxfId="149"/>
    <tableColumn id="37" name="Column37" dataDxfId="150"/>
    <tableColumn id="38" name="Column38" dataDxfId="151"/>
  </tableColumns>
  <tableStyleInfo name="Tx Forecast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44:N49" headerRowCount="0">
  <tableColumns count="13">
    <tableColumn id="1" name="Column1" dataDxfId="152"/>
    <tableColumn id="2" name="Column2" dataDxfId="153"/>
    <tableColumn id="3" name="Column3" dataDxfId="154"/>
    <tableColumn id="4" name="Column4" dataDxfId="155"/>
    <tableColumn id="5" name="Column5" dataDxfId="156"/>
    <tableColumn id="6" name="Column6" dataDxfId="157"/>
    <tableColumn id="7" name="Column7" dataDxfId="158"/>
    <tableColumn id="8" name="Column8" dataDxfId="159"/>
    <tableColumn id="9" name="Column9" dataDxfId="160"/>
    <tableColumn id="10" name="Column10" dataDxfId="161"/>
    <tableColumn id="11" name="Column11" dataDxfId="162"/>
    <tableColumn id="12" name="Column12" dataDxfId="163"/>
    <tableColumn id="13" name="Column13" dataDxfId="164"/>
  </tableColumns>
  <tableStyleInfo name="Tx Forecast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A44:AL50" headerRowCount="0">
  <tableColumns count="12">
    <tableColumn id="1" name="Column1" dataDxfId="165"/>
    <tableColumn id="2" name="Column2" dataDxfId="166"/>
    <tableColumn id="3" name="Column3" dataDxfId="167"/>
    <tableColumn id="4" name="Column4" dataDxfId="168"/>
    <tableColumn id="5" name="Column5" dataDxfId="169"/>
    <tableColumn id="6" name="Column6" dataDxfId="170"/>
    <tableColumn id="7" name="Column7" dataDxfId="171"/>
    <tableColumn id="8" name="Column8" dataDxfId="172"/>
    <tableColumn id="9" name="Column9" dataDxfId="173"/>
    <tableColumn id="10" name="Column10" dataDxfId="174"/>
    <tableColumn id="11" name="Column11" dataDxfId="175"/>
    <tableColumn id="12" name="Column12" dataDxfId="176"/>
  </tableColumns>
  <tableStyleInfo name="Tx Forecast-style 6" showFirstColumn="1" showLastColumn="1" showRowStripes="1" showColumnStripes="0"/>
</table>
</file>

<file path=xl/tables/table7.xml><?xml version="1.0" encoding="utf-8"?>
<table xmlns="http://schemas.openxmlformats.org/spreadsheetml/2006/main" id="8" name="Table_8" displayName="Table_8" ref="N50" headerRowCount="0">
  <tableColumns count="1">
    <tableColumn id="1" name="Column1" dataDxfId="177"/>
  </tableColumns>
  <tableStyleInfo name="Tx Forecast-style 8" showFirstColumn="1" showLastColumn="1" showRowStripes="1" showColumnStripes="0"/>
</table>
</file>

<file path=xl/tables/table8.xml><?xml version="1.0" encoding="utf-8"?>
<table xmlns="http://schemas.openxmlformats.org/spreadsheetml/2006/main" id="9" name="Table_9" displayName="Table_9" ref="A52:N60" headerRowCount="0" totalsRowCount="1">
  <tableColumns count="14">
    <tableColumn id="1" name="Column1" dataDxfId="178" totalsRowLabel="% Going to LYO1"/>
    <tableColumn id="2" name="Column2" dataDxfId="179" totalsRowFunction="custom"/>
    <tableColumn id="3" name="Column3" dataDxfId="180" totalsRowFunction="custom"/>
    <tableColumn id="4" name="Column4" dataDxfId="181" totalsRowFunction="custom"/>
    <tableColumn id="5" name="Column5" dataDxfId="182" totalsRowFunction="custom"/>
    <tableColumn id="6" name="Column6" dataDxfId="183" totalsRowFunction="custom"/>
    <tableColumn id="7" name="Column7" dataDxfId="184" totalsRowFunction="custom"/>
    <tableColumn id="8" name="Column8" dataDxfId="185" totalsRowFunction="custom"/>
    <tableColumn id="9" name="Column9" dataDxfId="186" totalsRowFunction="custom"/>
    <tableColumn id="10" name="Column10" dataDxfId="187" totalsRowFunction="custom"/>
    <tableColumn id="11" name="Column11" dataDxfId="188" totalsRowFunction="custom"/>
    <tableColumn id="12" name="Column12" dataDxfId="189" totalsRowFunction="custom"/>
    <tableColumn id="13" name="Column13" dataDxfId="190" totalsRowFunction="custom"/>
    <tableColumn id="14" name="Column14" dataDxfId="191" totalsRowFunction="custom"/>
  </tableColumns>
  <tableStyleInfo name="Tx Forecast-style 9" showFirstColumn="1" showLastColumn="1" showRowStripes="1" showColumnStripes="0"/>
</table>
</file>

<file path=xl/tables/table9.xml><?xml version="1.0" encoding="utf-8"?>
<table xmlns="http://schemas.openxmlformats.org/spreadsheetml/2006/main" id="10" name="Table_10" displayName="Table_10" ref="A62:M68" headerRowCount="0" totalsRowCount="1">
  <tableColumns count="13">
    <tableColumn id="1" name="Column1" dataDxfId="192" totalsRowLabel="Total"/>
    <tableColumn id="2" name="Column2" dataDxfId="193" totalsRowFunction="custom"/>
    <tableColumn id="3" name="Column3" dataDxfId="194" totalsRowFunction="custom"/>
    <tableColumn id="4" name="Column4" dataDxfId="195" totalsRowFunction="custom"/>
    <tableColumn id="5" name="Column5" dataDxfId="196" totalsRowFunction="custom"/>
    <tableColumn id="6" name="Column6" dataDxfId="197" totalsRowFunction="custom"/>
    <tableColumn id="7" name="Column7" dataDxfId="198" totalsRowFunction="custom"/>
    <tableColumn id="8" name="Column8" dataDxfId="199" totalsRowFunction="custom"/>
    <tableColumn id="9" name="Column9" dataDxfId="200" totalsRowFunction="custom"/>
    <tableColumn id="10" name="Column10" dataDxfId="201" totalsRowFunction="custom"/>
    <tableColumn id="11" name="Column11" dataDxfId="202" totalsRowFunction="custom"/>
    <tableColumn id="12" name="Column12" dataDxfId="203" totalsRowFunction="custom"/>
    <tableColumn id="13" name="Column13" dataDxfId="204" totalsRowFunction="custom"/>
  </tableColumns>
  <tableStyleInfo name="Tx Forecast-style 10" showFirstColumn="1" showLastColumn="1" showRowStripes="1" showColumnStripes="0"/>
</table>
</file>

<file path=xl/tables/table10.xml><?xml version="1.0" encoding="utf-8"?>
<table xmlns="http://schemas.openxmlformats.org/spreadsheetml/2006/main" id="11" name="Table_11" displayName="Table_11" ref="A71:M75" headerRowCount="0">
  <tableColumns count="13">
    <tableColumn id="1" name="Column1" dataDxfId="205"/>
    <tableColumn id="2" name="Column2" dataDxfId="206"/>
    <tableColumn id="3" name="Column3" dataDxfId="207"/>
    <tableColumn id="4" name="Column4" dataDxfId="208"/>
    <tableColumn id="5" name="Column5" dataDxfId="209"/>
    <tableColumn id="6" name="Column6" dataDxfId="210"/>
    <tableColumn id="7" name="Column7" dataDxfId="211"/>
    <tableColumn id="8" name="Column8" dataDxfId="212"/>
    <tableColumn id="9" name="Column9" dataDxfId="213"/>
    <tableColumn id="10" name="Column10" dataDxfId="214"/>
    <tableColumn id="11" name="Column11" dataDxfId="215"/>
    <tableColumn id="12" name="Column12" dataDxfId="216"/>
    <tableColumn id="13" name="Column13" dataDxfId="217"/>
  </tableColumns>
  <tableStyleInfo name="Tx Forecast-style 11" showFirstColumn="1" showLastColumn="1" showRowStripes="1" showColumnStripes="0"/>
</table>
</file>

<file path=xl/tables/table11.xml><?xml version="1.0" encoding="utf-8"?>
<table xmlns="http://schemas.openxmlformats.org/spreadsheetml/2006/main" id="12" name="Table_12" displayName="Table_12" ref="B80:M85" headerRowCount="0">
  <tableColumns count="12">
    <tableColumn id="1" name="Column1" dataDxfId="218"/>
    <tableColumn id="2" name="Column2" dataDxfId="219"/>
    <tableColumn id="3" name="Column3" dataDxfId="220"/>
    <tableColumn id="4" name="Column4" dataDxfId="221"/>
    <tableColumn id="5" name="Column5" dataDxfId="222"/>
    <tableColumn id="6" name="Column6" dataDxfId="223"/>
    <tableColumn id="7" name="Column7" dataDxfId="224"/>
    <tableColumn id="8" name="Column8" dataDxfId="225"/>
    <tableColumn id="9" name="Column9" dataDxfId="226"/>
    <tableColumn id="10" name="Column10" dataDxfId="227"/>
    <tableColumn id="11" name="Column11" dataDxfId="228"/>
    <tableColumn id="12" name="Column12" dataDxfId="229"/>
  </tableColumns>
  <tableStyleInfo name="Tx Forecast-style 12" showFirstColumn="1" showLastColumn="1" showRowStripes="1" showColumnStripes="0"/>
</table>
</file>

<file path=xl/tables/table12.xml><?xml version="1.0" encoding="utf-8"?>
<table xmlns="http://schemas.openxmlformats.org/spreadsheetml/2006/main" id="13" name="Table_13" displayName="Table_13" ref="AA80:AL86" headerRowCount="0">
  <tableColumns count="12">
    <tableColumn id="1" name="Column1" dataDxfId="230"/>
    <tableColumn id="2" name="Column2" dataDxfId="231"/>
    <tableColumn id="3" name="Column3" dataDxfId="232"/>
    <tableColumn id="4" name="Column4" dataDxfId="233"/>
    <tableColumn id="5" name="Column5" dataDxfId="234"/>
    <tableColumn id="6" name="Column6" dataDxfId="235"/>
    <tableColumn id="7" name="Column7" dataDxfId="236"/>
    <tableColumn id="8" name="Column8" dataDxfId="237"/>
    <tableColumn id="9" name="Column9" dataDxfId="238"/>
    <tableColumn id="10" name="Column10" dataDxfId="239"/>
    <tableColumn id="11" name="Column11" dataDxfId="240"/>
    <tableColumn id="12" name="Column12" dataDxfId="241"/>
  </tableColumns>
  <tableStyleInfo name="Tx Forecast-style 13" showFirstColumn="1" showLastColumn="1" showRowStripes="1" showColumnStripes="0"/>
</table>
</file>

<file path=xl/tables/table13.xml><?xml version="1.0" encoding="utf-8"?>
<table xmlns="http://schemas.openxmlformats.org/spreadsheetml/2006/main" id="14" name="Table_14" displayName="Table_14" ref="N81:Y81" headerRowCount="0">
  <tableColumns count="12">
    <tableColumn id="1" name="Column1" dataDxfId="242"/>
    <tableColumn id="2" name="Column2" dataDxfId="243"/>
    <tableColumn id="3" name="Column3" dataDxfId="244"/>
    <tableColumn id="4" name="Column4" dataDxfId="245"/>
    <tableColumn id="5" name="Column5" dataDxfId="246"/>
    <tableColumn id="6" name="Column6" dataDxfId="247"/>
    <tableColumn id="7" name="Column7" dataDxfId="248"/>
    <tableColumn id="8" name="Column8" dataDxfId="249"/>
    <tableColumn id="9" name="Column9" dataDxfId="250"/>
    <tableColumn id="10" name="Column10" dataDxfId="251"/>
    <tableColumn id="11" name="Column11" dataDxfId="252"/>
    <tableColumn id="12" name="Column12" dataDxfId="253"/>
  </tableColumns>
  <tableStyleInfo name="Tx Forecast-style 14" showFirstColumn="1" showLastColumn="1" showRowStripes="1" showColumnStripes="0"/>
</table>
</file>

<file path=xl/tables/table14.xml><?xml version="1.0" encoding="utf-8"?>
<table xmlns="http://schemas.openxmlformats.org/spreadsheetml/2006/main" id="16" name="Table_16" displayName="Table_16" ref="A88:N94" headerRowCount="0" totalsRowCount="1">
  <tableColumns count="14">
    <tableColumn id="1" name="Column1" dataDxfId="254" totalsRowLabel="Total"/>
    <tableColumn id="2" name="Column2" dataDxfId="255" totalsRowFunction="custom"/>
    <tableColumn id="3" name="Column3" dataDxfId="256" totalsRowFunction="custom"/>
    <tableColumn id="4" name="Column4" dataDxfId="257" totalsRowFunction="custom"/>
    <tableColumn id="5" name="Column5" dataDxfId="258" totalsRowFunction="custom"/>
    <tableColumn id="6" name="Column6" dataDxfId="259" totalsRowFunction="custom"/>
    <tableColumn id="7" name="Column7" dataDxfId="260" totalsRowFunction="custom"/>
    <tableColumn id="8" name="Column8" dataDxfId="261" totalsRowFunction="custom"/>
    <tableColumn id="9" name="Column9" dataDxfId="262" totalsRowFunction="custom"/>
    <tableColumn id="10" name="Column10" dataDxfId="263" totalsRowFunction="custom"/>
    <tableColumn id="11" name="Column11" dataDxfId="264" totalsRowFunction="custom"/>
    <tableColumn id="12" name="Column12" dataDxfId="265" totalsRowFunction="custom"/>
    <tableColumn id="13" name="Column13" dataDxfId="266" totalsRowFunction="custom"/>
    <tableColumn id="14" name="Column14" dataDxfId="267" totalsRowFunction="custom"/>
  </tableColumns>
  <tableStyleInfo name="Tx Forecast-style 16" showFirstColumn="1" showLastColumn="1" showRowStripes="1" showColumnStripes="0"/>
</table>
</file>

<file path=xl/tables/table15.xml><?xml version="1.0" encoding="utf-8"?>
<table xmlns="http://schemas.openxmlformats.org/spreadsheetml/2006/main" id="17" name="Table_17" displayName="Table_17" ref="A95:M96" headerRowCount="0" totalsRowCount="1">
  <tableColumns count="13">
    <tableColumn id="1" name="Column1" dataDxfId="268" totalsRowLabel="% Going to PAR3"/>
    <tableColumn id="2" name="Column2" dataDxfId="269" totalsRowFunction="custom"/>
    <tableColumn id="3" name="Column3" dataDxfId="270" totalsRowFunction="custom"/>
    <tableColumn id="4" name="Column4" dataDxfId="271" totalsRowFunction="custom"/>
    <tableColumn id="5" name="Column5" dataDxfId="272" totalsRowFunction="custom"/>
    <tableColumn id="6" name="Column6" dataDxfId="273" totalsRowFunction="custom"/>
    <tableColumn id="7" name="Column7" dataDxfId="274" totalsRowFunction="custom"/>
    <tableColumn id="8" name="Column8" dataDxfId="275" totalsRowFunction="custom"/>
    <tableColumn id="9" name="Column9" dataDxfId="276" totalsRowFunction="custom"/>
    <tableColumn id="10" name="Column10" dataDxfId="277" totalsRowFunction="custom"/>
    <tableColumn id="11" name="Column11" dataDxfId="278" totalsRowFunction="custom"/>
    <tableColumn id="12" name="Column12" dataDxfId="279" totalsRowFunction="custom"/>
    <tableColumn id="13" name="Column13" dataDxfId="280" totalsRowFunction="custom"/>
  </tableColumns>
  <tableStyleInfo name="Tx Forecast-style 17" showFirstColumn="1" showLastColumn="1" showRowStripes="1" showColumnStripes="0"/>
</table>
</file>

<file path=xl/tables/table16.xml><?xml version="1.0" encoding="utf-8"?>
<table xmlns="http://schemas.openxmlformats.org/spreadsheetml/2006/main" id="18" name="Table_18" displayName="Table_18" ref="A98:M104" headerRowCount="0" totalsRowCount="1">
  <tableColumns count="13">
    <tableColumn id="1" name="Column1" dataDxfId="281" totalsRowLabel="Total"/>
    <tableColumn id="2" name="Column2" dataDxfId="282" totalsRowFunction="custom"/>
    <tableColumn id="3" name="Column3" dataDxfId="283" totalsRowFunction="custom"/>
    <tableColumn id="4" name="Column4" dataDxfId="284" totalsRowFunction="custom"/>
    <tableColumn id="5" name="Column5" dataDxfId="285" totalsRowFunction="custom"/>
    <tableColumn id="6" name="Column6" dataDxfId="286" totalsRowFunction="custom"/>
    <tableColumn id="7" name="Column7" dataDxfId="287" totalsRowFunction="custom"/>
    <tableColumn id="8" name="Column8" dataDxfId="288" totalsRowFunction="custom"/>
    <tableColumn id="9" name="Column9" dataDxfId="289" totalsRowFunction="custom"/>
    <tableColumn id="10" name="Column10" dataDxfId="290" totalsRowFunction="custom"/>
    <tableColumn id="11" name="Column11" dataDxfId="291" totalsRowFunction="custom"/>
    <tableColumn id="12" name="Column12" dataDxfId="292" totalsRowFunction="custom"/>
    <tableColumn id="13" name="Column13" dataDxfId="293" totalsRowFunction="custom"/>
  </tableColumns>
  <tableStyleInfo name="Tx Forecast-style 18" showFirstColumn="1" showLastColumn="1" showRowStripes="1" showColumnStripes="0"/>
</table>
</file>

<file path=xl/tables/table17.xml><?xml version="1.0" encoding="utf-8"?>
<table xmlns="http://schemas.openxmlformats.org/spreadsheetml/2006/main" id="19" name="Table_19" displayName="Table_19" ref="A107:M111" headerRowCount="0">
  <tableColumns count="13">
    <tableColumn id="1" name="Column1" dataDxfId="294"/>
    <tableColumn id="2" name="Column2" dataDxfId="295"/>
    <tableColumn id="3" name="Column3" dataDxfId="296"/>
    <tableColumn id="4" name="Column4" dataDxfId="297"/>
    <tableColumn id="5" name="Column5" dataDxfId="298"/>
    <tableColumn id="6" name="Column6" dataDxfId="299"/>
    <tableColumn id="7" name="Column7" dataDxfId="300"/>
    <tableColumn id="8" name="Column8" dataDxfId="301"/>
    <tableColumn id="9" name="Column9" dataDxfId="302"/>
    <tableColumn id="10" name="Column10" dataDxfId="303"/>
    <tableColumn id="11" name="Column11" dataDxfId="304"/>
    <tableColumn id="12" name="Column12" dataDxfId="305"/>
    <tableColumn id="13" name="Column13" dataDxfId="306"/>
  </tableColumns>
  <tableStyleInfo name="Tx Forecast-style 1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LZNgXurN-F8T91jaVKKlQv3jif8aQuy1jSNw4n0N-Lg/edit?gid=1862343260" TargetMode="External"/><Relationship Id="rId2" Type="http://schemas.openxmlformats.org/officeDocument/2006/relationships/hyperlink" Target="https://www.google.com/url?q=https://docs.google.com/spreadsheets/d/1wd1sUJRxVS_jIxDFf1vPi_ZidwQXHKRUdEhZITixe_M/edit?gid%3D26619310%23gid%3D26619310&amp;sa=D&amp;source=editors&amp;ust=1757680920892716&amp;usg=AOvVaw1dzpuFi9ZgFyZdizBd7NIo" TargetMode="External"/><Relationship Id="rId1" Type="http://schemas.openxmlformats.org/officeDocument/2006/relationships/hyperlink" Target="https://docs.google.com/spreadsheets/d/1X4qPkxrNWR0KUORSwsQTOYAbLkwrKfd-hnf4IcjzQC0/edit?gid=146179992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X4qPkxrNWR0KUORSwsQTOYAbLkwrKfd-hnf4IcjzQC0/edit?gid=146179992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X4qPkxrNWR0KUORSwsQTOYAbLkwrKfd-hnf4IcjzQC0/edit?gid=1461799922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7" Type="http://schemas.openxmlformats.org/officeDocument/2006/relationships/table" Target="../tables/table17.xml"/><Relationship Id="rId16" Type="http://schemas.openxmlformats.org/officeDocument/2006/relationships/table" Target="../tables/table16.xml"/><Relationship Id="rId15" Type="http://schemas.openxmlformats.org/officeDocument/2006/relationships/table" Target="../tables/table15.xml"/><Relationship Id="rId14" Type="http://schemas.openxmlformats.org/officeDocument/2006/relationships/table" Target="../tables/table14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11"/>
  <sheetViews>
    <sheetView showGridLines="0" tabSelected="1" workbookViewId="0">
      <selection activeCell="D4" sqref="D4"/>
    </sheetView>
  </sheetViews>
  <sheetFormatPr defaultColWidth="12.6339285714286" defaultRowHeight="15.75" customHeight="1"/>
  <cols>
    <col min="1" max="2" width="9.25" customWidth="1"/>
    <col min="3" max="3" width="14" customWidth="1"/>
    <col min="4" max="4" width="10.25" customWidth="1"/>
    <col min="5" max="21" width="5.88392857142857" customWidth="1"/>
    <col min="22" max="22" width="11.25" customWidth="1"/>
    <col min="23" max="29" width="5.88392857142857" customWidth="1"/>
  </cols>
  <sheetData>
    <row r="1" ht="15.2" spans="2:29">
      <c r="B1" s="37" t="s">
        <v>0</v>
      </c>
      <c r="C1" s="39"/>
      <c r="D1" s="39"/>
      <c r="E1" s="39"/>
      <c r="F1" s="39"/>
      <c r="G1" s="39"/>
      <c r="H1" s="39"/>
      <c r="I1" s="60"/>
      <c r="J1" s="59"/>
      <c r="K1" s="59"/>
      <c r="L1" s="59"/>
      <c r="M1" s="61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ht="9.75" customHeight="1" spans="1:29">
      <c r="A2" s="39"/>
      <c r="B2" s="39"/>
      <c r="C2" s="39"/>
      <c r="D2" s="39"/>
      <c r="F2" s="39"/>
      <c r="G2" s="39"/>
      <c r="H2" s="39"/>
      <c r="I2" s="60"/>
      <c r="J2" s="59"/>
      <c r="K2" s="59"/>
      <c r="L2" s="59"/>
      <c r="M2" s="61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ht="13.5" customHeight="1" spans="1:29">
      <c r="A3" s="77" t="s">
        <v>1</v>
      </c>
      <c r="B3" s="41"/>
      <c r="C3" s="42"/>
      <c r="D3" s="39"/>
      <c r="E3" s="77" t="s">
        <v>2</v>
      </c>
      <c r="F3" s="41"/>
      <c r="G3" s="41"/>
      <c r="H3" s="41"/>
      <c r="I3" s="41"/>
      <c r="J3" s="42"/>
      <c r="K3" s="59"/>
      <c r="L3" s="77" t="s">
        <v>3</v>
      </c>
      <c r="M3" s="41"/>
      <c r="N3" s="41"/>
      <c r="O3" s="41"/>
      <c r="P3" s="41"/>
      <c r="Q3" s="42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3.5" customHeight="1" spans="1:29">
      <c r="A4" s="78" t="s">
        <v>4</v>
      </c>
      <c r="B4" s="41"/>
      <c r="C4" s="274">
        <v>24.5</v>
      </c>
      <c r="E4" s="78" t="s">
        <v>5</v>
      </c>
      <c r="F4" s="42"/>
      <c r="G4" s="81">
        <v>2026</v>
      </c>
      <c r="H4" s="81">
        <v>2027</v>
      </c>
      <c r="I4" s="81">
        <v>2028</v>
      </c>
      <c r="J4" s="81">
        <v>2029</v>
      </c>
      <c r="L4" s="78" t="s">
        <v>5</v>
      </c>
      <c r="M4" s="42"/>
      <c r="N4" s="81">
        <v>2026</v>
      </c>
      <c r="O4" s="81">
        <v>2027</v>
      </c>
      <c r="P4" s="81">
        <v>2028</v>
      </c>
      <c r="Q4" s="81">
        <v>2029</v>
      </c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ht="21.75" customHeight="1" spans="1:29">
      <c r="A5" s="78" t="s">
        <v>6</v>
      </c>
      <c r="B5" s="41"/>
      <c r="C5" s="62">
        <v>18</v>
      </c>
      <c r="E5" s="78" t="s">
        <v>7</v>
      </c>
      <c r="F5" s="42"/>
      <c r="G5" s="65">
        <f t="shared" ref="G5:G6" si="0">G7/$C$5</f>
        <v>12696.6111111111</v>
      </c>
      <c r="H5" s="65">
        <v>6431</v>
      </c>
      <c r="I5" s="65">
        <v>7663</v>
      </c>
      <c r="J5" s="65">
        <v>8597</v>
      </c>
      <c r="K5" s="59"/>
      <c r="L5" s="78" t="s">
        <v>7</v>
      </c>
      <c r="M5" s="42"/>
      <c r="N5" s="65">
        <f t="shared" ref="N5:Q5" si="1">N7/$C$5</f>
        <v>17508.2777777778</v>
      </c>
      <c r="O5" s="65">
        <f t="shared" si="1"/>
        <v>23489.7222222222</v>
      </c>
      <c r="P5" s="65">
        <f t="shared" si="1"/>
        <v>28654.6111111111</v>
      </c>
      <c r="Q5" s="65">
        <f t="shared" si="1"/>
        <v>31019.2777777778</v>
      </c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ht="22.5" customHeight="1" spans="1:29">
      <c r="A6" s="78" t="s">
        <v>8</v>
      </c>
      <c r="B6" s="41"/>
      <c r="C6" s="72">
        <f>7-1/3</f>
        <v>6.66666666666667</v>
      </c>
      <c r="E6" s="78" t="s">
        <v>9</v>
      </c>
      <c r="F6" s="42"/>
      <c r="G6" s="65">
        <f t="shared" si="0"/>
        <v>0</v>
      </c>
      <c r="H6" s="65">
        <f t="shared" ref="H6:J6" si="2">H8/$C$5</f>
        <v>3464.5</v>
      </c>
      <c r="I6" s="65">
        <f t="shared" si="2"/>
        <v>7167.94444444444</v>
      </c>
      <c r="J6" s="65">
        <f t="shared" si="2"/>
        <v>8797.16666666667</v>
      </c>
      <c r="K6" s="105"/>
      <c r="L6" s="78" t="s">
        <v>9</v>
      </c>
      <c r="M6" s="42"/>
      <c r="N6" s="65">
        <f t="shared" ref="N6:Q6" si="3">N8/$C$5</f>
        <v>0</v>
      </c>
      <c r="O6" s="65">
        <f t="shared" si="3"/>
        <v>3464.5</v>
      </c>
      <c r="P6" s="65">
        <f t="shared" si="3"/>
        <v>7167.94444444444</v>
      </c>
      <c r="Q6" s="65">
        <f t="shared" si="3"/>
        <v>8797.16666666667</v>
      </c>
      <c r="T6" s="59"/>
      <c r="U6" s="59"/>
      <c r="V6" s="59"/>
      <c r="W6" s="59"/>
      <c r="X6" s="59"/>
      <c r="Y6" s="59"/>
      <c r="Z6" s="59"/>
      <c r="AA6" s="59"/>
      <c r="AB6" s="59"/>
      <c r="AC6" s="59"/>
    </row>
    <row r="7" ht="23.25" customHeight="1" spans="1:29">
      <c r="A7" s="78" t="s">
        <v>10</v>
      </c>
      <c r="B7" s="41"/>
      <c r="C7" s="62">
        <f>6*52</f>
        <v>312</v>
      </c>
      <c r="E7" s="78" t="s">
        <v>11</v>
      </c>
      <c r="F7" s="42"/>
      <c r="G7" s="65">
        <f t="shared" ref="G7:J7" si="4">IF(G12-G10&gt;0,G12-G10,0)</f>
        <v>228539</v>
      </c>
      <c r="H7" s="65">
        <f t="shared" si="4"/>
        <v>310510</v>
      </c>
      <c r="I7" s="65">
        <f t="shared" si="4"/>
        <v>380257</v>
      </c>
      <c r="J7" s="65">
        <f t="shared" si="4"/>
        <v>412625</v>
      </c>
      <c r="K7" s="105"/>
      <c r="L7" s="78" t="s">
        <v>11</v>
      </c>
      <c r="M7" s="42"/>
      <c r="N7" s="65">
        <f t="shared" ref="N7:Q7" si="5">IF(N12-N10&gt;0,N12-N10,0)</f>
        <v>315149</v>
      </c>
      <c r="O7" s="65">
        <f t="shared" si="5"/>
        <v>422815</v>
      </c>
      <c r="P7" s="65">
        <f t="shared" si="5"/>
        <v>515783</v>
      </c>
      <c r="Q7" s="65">
        <f t="shared" si="5"/>
        <v>558347</v>
      </c>
      <c r="R7" s="74" t="s">
        <v>12</v>
      </c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ht="23.25" customHeight="1" spans="1:29">
      <c r="A8" s="78" t="s">
        <v>13</v>
      </c>
      <c r="B8" s="41"/>
      <c r="C8" s="62">
        <v>4</v>
      </c>
      <c r="E8" s="78" t="s">
        <v>14</v>
      </c>
      <c r="F8" s="42"/>
      <c r="G8" s="276">
        <f t="shared" ref="G8:J8" si="6">IF(G13-G11&gt;0,G13-G11,0)</f>
        <v>0</v>
      </c>
      <c r="H8" s="276">
        <f t="shared" si="6"/>
        <v>62361</v>
      </c>
      <c r="I8" s="276">
        <f t="shared" si="6"/>
        <v>129023</v>
      </c>
      <c r="J8" s="276">
        <f t="shared" si="6"/>
        <v>158349</v>
      </c>
      <c r="K8" s="39"/>
      <c r="L8" s="78" t="s">
        <v>14</v>
      </c>
      <c r="M8" s="42"/>
      <c r="N8" s="65">
        <f t="shared" ref="N8:Q8" si="7">IF(N13-N11&gt;0,N13-N11,0)</f>
        <v>0</v>
      </c>
      <c r="O8" s="65">
        <f t="shared" si="7"/>
        <v>62361</v>
      </c>
      <c r="P8" s="65">
        <f t="shared" si="7"/>
        <v>129023</v>
      </c>
      <c r="Q8" s="65">
        <f t="shared" si="7"/>
        <v>158349</v>
      </c>
      <c r="R8" s="74" t="s">
        <v>15</v>
      </c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ht="13.5" customHeight="1" spans="1:29">
      <c r="A9" s="78" t="s">
        <v>16</v>
      </c>
      <c r="B9" s="41"/>
      <c r="C9" s="80">
        <v>0.5</v>
      </c>
      <c r="E9" s="78" t="s">
        <v>17</v>
      </c>
      <c r="F9" s="42"/>
      <c r="G9" s="80">
        <f t="shared" ref="G9:J9" si="8">(N12-N13)/N13</f>
        <v>0.488257767157638</v>
      </c>
      <c r="H9" s="80">
        <f t="shared" si="8"/>
        <v>0.471372246059834</v>
      </c>
      <c r="I9" s="80">
        <f t="shared" si="8"/>
        <v>0.456919465684433</v>
      </c>
      <c r="J9" s="80">
        <f t="shared" si="8"/>
        <v>0.456497864869871</v>
      </c>
      <c r="K9" s="39"/>
      <c r="L9" s="78" t="s">
        <v>17</v>
      </c>
      <c r="M9" s="42"/>
      <c r="N9" s="80">
        <v>0</v>
      </c>
      <c r="O9" s="80">
        <v>0</v>
      </c>
      <c r="P9" s="80">
        <v>0</v>
      </c>
      <c r="Q9" s="80">
        <v>0</v>
      </c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ht="13.5" customHeight="1" spans="1:29">
      <c r="A10" s="78" t="s">
        <v>18</v>
      </c>
      <c r="B10" s="41"/>
      <c r="C10" s="80">
        <v>0.3</v>
      </c>
      <c r="D10" s="39"/>
      <c r="E10" s="277" t="s">
        <v>19</v>
      </c>
      <c r="F10" s="42"/>
      <c r="G10" s="278">
        <v>0</v>
      </c>
      <c r="H10" s="278">
        <v>0</v>
      </c>
      <c r="I10" s="278">
        <v>0</v>
      </c>
      <c r="J10" s="278">
        <v>0</v>
      </c>
      <c r="K10" s="279"/>
      <c r="L10" s="277" t="s">
        <v>19</v>
      </c>
      <c r="M10" s="42"/>
      <c r="N10" s="278">
        <v>0</v>
      </c>
      <c r="O10" s="278">
        <v>0</v>
      </c>
      <c r="P10" s="278">
        <v>0</v>
      </c>
      <c r="Q10" s="278">
        <v>0</v>
      </c>
      <c r="R10" s="74" t="s">
        <v>20</v>
      </c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ht="13.5" customHeight="1" spans="1:29">
      <c r="A11" s="275"/>
      <c r="B11" s="275"/>
      <c r="C11" s="275"/>
      <c r="D11" s="39"/>
      <c r="E11" s="277" t="s">
        <v>21</v>
      </c>
      <c r="F11" s="42"/>
      <c r="G11" s="278">
        <f t="shared" ref="G11:J11" si="9">12500*$C$5</f>
        <v>225000</v>
      </c>
      <c r="H11" s="278">
        <f t="shared" si="9"/>
        <v>225000</v>
      </c>
      <c r="I11" s="278">
        <f t="shared" si="9"/>
        <v>225000</v>
      </c>
      <c r="J11" s="278">
        <f t="shared" si="9"/>
        <v>225000</v>
      </c>
      <c r="K11" s="279"/>
      <c r="L11" s="277" t="s">
        <v>21</v>
      </c>
      <c r="M11" s="42"/>
      <c r="N11" s="278">
        <f t="shared" ref="N11:Q11" si="10">12500*$C$5</f>
        <v>225000</v>
      </c>
      <c r="O11" s="278">
        <f t="shared" si="10"/>
        <v>225000</v>
      </c>
      <c r="P11" s="278">
        <f t="shared" si="10"/>
        <v>225000</v>
      </c>
      <c r="Q11" s="278">
        <f t="shared" si="10"/>
        <v>225000</v>
      </c>
      <c r="R11" s="74" t="s">
        <v>22</v>
      </c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ht="13.5" customHeight="1" spans="1:29">
      <c r="A12" s="275"/>
      <c r="B12" s="275"/>
      <c r="C12" s="275"/>
      <c r="D12" s="39"/>
      <c r="E12" s="277" t="s">
        <v>23</v>
      </c>
      <c r="F12" s="42"/>
      <c r="G12" s="278">
        <v>228539</v>
      </c>
      <c r="H12" s="278">
        <v>310510</v>
      </c>
      <c r="I12" s="278">
        <v>380257</v>
      </c>
      <c r="J12" s="278">
        <v>412625</v>
      </c>
      <c r="K12" s="279"/>
      <c r="L12" s="277" t="s">
        <v>23</v>
      </c>
      <c r="M12" s="42"/>
      <c r="N12" s="278">
        <v>315149</v>
      </c>
      <c r="O12" s="278">
        <v>422815</v>
      </c>
      <c r="P12" s="278">
        <v>515783</v>
      </c>
      <c r="Q12" s="278">
        <v>558347</v>
      </c>
      <c r="R12" s="74" t="s">
        <v>24</v>
      </c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ht="13.5" customHeight="1" spans="1:29">
      <c r="A13" s="275"/>
      <c r="B13" s="275"/>
      <c r="C13" s="275"/>
      <c r="D13" s="39"/>
      <c r="E13" s="277" t="s">
        <v>25</v>
      </c>
      <c r="F13" s="42"/>
      <c r="G13" s="278">
        <v>211757</v>
      </c>
      <c r="H13" s="278">
        <v>287361</v>
      </c>
      <c r="I13" s="278">
        <v>354023</v>
      </c>
      <c r="J13" s="278">
        <v>383349</v>
      </c>
      <c r="K13" s="279"/>
      <c r="L13" s="277" t="s">
        <v>25</v>
      </c>
      <c r="M13" s="42"/>
      <c r="N13" s="278">
        <v>211757</v>
      </c>
      <c r="O13" s="278">
        <v>287361</v>
      </c>
      <c r="P13" s="278">
        <v>354023</v>
      </c>
      <c r="Q13" s="278">
        <v>383349</v>
      </c>
      <c r="R13" s="74" t="s">
        <v>24</v>
      </c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ht="7.5" customHeight="1" spans="1:29">
      <c r="A14" s="39"/>
      <c r="B14" s="39"/>
      <c r="C14" s="39"/>
      <c r="D14" s="39"/>
      <c r="E14" s="39"/>
      <c r="F14" s="39"/>
      <c r="G14" s="39"/>
      <c r="H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ht="39.75" customHeight="1" spans="1:19">
      <c r="A15" s="81" t="s">
        <v>26</v>
      </c>
      <c r="B15" s="113" t="s">
        <v>26</v>
      </c>
      <c r="C15" s="114"/>
      <c r="D15" s="114"/>
      <c r="E15" s="159" t="s">
        <v>27</v>
      </c>
      <c r="F15" s="57"/>
      <c r="G15" s="58"/>
      <c r="H15" s="159" t="s">
        <v>28</v>
      </c>
      <c r="I15" s="57"/>
      <c r="J15" s="58"/>
      <c r="K15" s="159" t="s">
        <v>29</v>
      </c>
      <c r="L15" s="57"/>
      <c r="M15" s="58"/>
      <c r="N15" s="159" t="s">
        <v>30</v>
      </c>
      <c r="O15" s="57"/>
      <c r="P15" s="58"/>
      <c r="Q15" s="159" t="s">
        <v>31</v>
      </c>
      <c r="R15" s="57"/>
      <c r="S15" s="58"/>
    </row>
    <row r="16" ht="15.95" spans="1:19">
      <c r="A16" s="115"/>
      <c r="B16" s="116" t="s">
        <v>32</v>
      </c>
      <c r="C16" s="117"/>
      <c r="D16" s="118"/>
      <c r="E16" s="160">
        <v>0</v>
      </c>
      <c r="F16" s="117"/>
      <c r="G16" s="161"/>
      <c r="H16" s="160">
        <v>0.05</v>
      </c>
      <c r="I16" s="117"/>
      <c r="J16" s="161"/>
      <c r="K16" s="162">
        <v>0.05</v>
      </c>
      <c r="L16" s="117"/>
      <c r="M16" s="161"/>
      <c r="N16" s="160">
        <v>0.05</v>
      </c>
      <c r="O16" s="117"/>
      <c r="P16" s="161"/>
      <c r="Q16" s="162">
        <v>0.05</v>
      </c>
      <c r="R16" s="117"/>
      <c r="S16" s="161"/>
    </row>
    <row r="17" ht="15.95" collapsed="1" spans="1:19">
      <c r="A17" s="115"/>
      <c r="B17" s="83" t="s">
        <v>33</v>
      </c>
      <c r="C17" s="41"/>
      <c r="D17" s="42"/>
      <c r="E17" s="163">
        <f>SUM(E18:G20)</f>
        <v>0.02</v>
      </c>
      <c r="F17" s="41"/>
      <c r="G17" s="164"/>
      <c r="H17" s="163">
        <f>SUM(H18:J20)</f>
        <v>0.05</v>
      </c>
      <c r="I17" s="41"/>
      <c r="J17" s="164"/>
      <c r="K17" s="163">
        <f>SUM(K18:M20)</f>
        <v>0.05</v>
      </c>
      <c r="L17" s="41"/>
      <c r="M17" s="164"/>
      <c r="N17" s="163">
        <f>SUM(N18:P20)</f>
        <v>0.05</v>
      </c>
      <c r="O17" s="41"/>
      <c r="P17" s="164"/>
      <c r="Q17" s="163">
        <f>SUM(Q18:S20)</f>
        <v>0.05</v>
      </c>
      <c r="R17" s="41"/>
      <c r="S17" s="164"/>
    </row>
    <row r="18" ht="15.2" hidden="1" outlineLevel="1" spans="1:19">
      <c r="A18" s="119"/>
      <c r="B18" s="120" t="s">
        <v>34</v>
      </c>
      <c r="C18" s="41"/>
      <c r="D18" s="42"/>
      <c r="E18" s="165">
        <v>0</v>
      </c>
      <c r="F18" s="41"/>
      <c r="G18" s="164"/>
      <c r="H18" s="165">
        <v>0.02</v>
      </c>
      <c r="I18" s="41"/>
      <c r="J18" s="164"/>
      <c r="K18" s="166">
        <v>0.02</v>
      </c>
      <c r="L18" s="41"/>
      <c r="M18" s="164"/>
      <c r="N18" s="165">
        <v>0.02</v>
      </c>
      <c r="O18" s="41"/>
      <c r="P18" s="164"/>
      <c r="Q18" s="166">
        <v>0.02</v>
      </c>
      <c r="R18" s="41"/>
      <c r="S18" s="164"/>
    </row>
    <row r="19" ht="15.2" hidden="1" outlineLevel="1" spans="1:19">
      <c r="A19" s="119"/>
      <c r="B19" s="120" t="s">
        <v>35</v>
      </c>
      <c r="C19" s="41"/>
      <c r="D19" s="42"/>
      <c r="E19" s="165">
        <v>0.02</v>
      </c>
      <c r="F19" s="41"/>
      <c r="G19" s="164"/>
      <c r="H19" s="165">
        <v>0.02</v>
      </c>
      <c r="I19" s="41"/>
      <c r="J19" s="164"/>
      <c r="K19" s="166">
        <v>0.02</v>
      </c>
      <c r="L19" s="41"/>
      <c r="M19" s="164"/>
      <c r="N19" s="165">
        <v>0.02</v>
      </c>
      <c r="O19" s="41"/>
      <c r="P19" s="164"/>
      <c r="Q19" s="166">
        <v>0.02</v>
      </c>
      <c r="R19" s="41"/>
      <c r="S19" s="164"/>
    </row>
    <row r="20" ht="15.95" hidden="1" outlineLevel="1" spans="1:19">
      <c r="A20" s="119"/>
      <c r="B20" s="121" t="s">
        <v>36</v>
      </c>
      <c r="C20" s="122"/>
      <c r="D20" s="123"/>
      <c r="E20" s="167">
        <v>0</v>
      </c>
      <c r="F20" s="122"/>
      <c r="G20" s="168"/>
      <c r="H20" s="167">
        <v>0.01</v>
      </c>
      <c r="I20" s="122"/>
      <c r="J20" s="168"/>
      <c r="K20" s="169">
        <v>0.01</v>
      </c>
      <c r="L20" s="122"/>
      <c r="M20" s="168"/>
      <c r="N20" s="167">
        <v>0.01</v>
      </c>
      <c r="O20" s="122"/>
      <c r="P20" s="168"/>
      <c r="Q20" s="169">
        <v>0.01</v>
      </c>
      <c r="R20" s="122"/>
      <c r="S20" s="168"/>
    </row>
    <row r="21" ht="16.7" spans="1:19">
      <c r="A21" s="115"/>
      <c r="B21" s="124" t="s">
        <v>37</v>
      </c>
      <c r="C21" s="125" t="s">
        <v>38</v>
      </c>
      <c r="D21" s="125" t="s">
        <v>39</v>
      </c>
      <c r="E21" s="170" t="s">
        <v>40</v>
      </c>
      <c r="F21" s="171" t="s">
        <v>41</v>
      </c>
      <c r="G21" s="172" t="s">
        <v>42</v>
      </c>
      <c r="H21" s="173" t="s">
        <v>40</v>
      </c>
      <c r="I21" s="124" t="s">
        <v>41</v>
      </c>
      <c r="J21" s="125" t="s">
        <v>42</v>
      </c>
      <c r="K21" s="173" t="s">
        <v>40</v>
      </c>
      <c r="L21" s="124" t="s">
        <v>41</v>
      </c>
      <c r="M21" s="125" t="s">
        <v>42</v>
      </c>
      <c r="N21" s="173" t="s">
        <v>40</v>
      </c>
      <c r="O21" s="124" t="s">
        <v>41</v>
      </c>
      <c r="P21" s="125" t="s">
        <v>42</v>
      </c>
      <c r="Q21" s="173" t="s">
        <v>40</v>
      </c>
      <c r="R21" s="124" t="s">
        <v>41</v>
      </c>
      <c r="S21" s="246" t="s">
        <v>42</v>
      </c>
    </row>
    <row r="22" ht="15.95" spans="1:19">
      <c r="A22" s="126" t="s">
        <v>43</v>
      </c>
      <c r="B22" s="127" t="s">
        <v>44</v>
      </c>
      <c r="C22" s="128" t="s">
        <v>45</v>
      </c>
      <c r="D22" s="129" t="s">
        <v>46</v>
      </c>
      <c r="E22" s="174">
        <v>7300</v>
      </c>
      <c r="F22" s="175">
        <f>IFERROR(($J$7+$J$9*$J$8)/(E22*$C$6),"")</f>
        <v>9.96392425488245</v>
      </c>
      <c r="G22" s="176">
        <f t="shared" ref="G22:G24" si="11">IF(F22*$C$6*$C$4/$J$8=0,"",F22*$C$6*$C$4/$J$8)</f>
        <v>0.0102775575572362</v>
      </c>
      <c r="H22" s="174">
        <v>7300</v>
      </c>
      <c r="I22" s="175">
        <f>IFERROR(($J$7+$J$9*$J$8)/(H22*$C$6),"")</f>
        <v>9.96392425488245</v>
      </c>
      <c r="J22" s="176">
        <f t="shared" ref="J22:J25" si="12">IF(I22*$C$6*$C$4/$J$8=0,"",I22*$C$6*$C$4/$J$8)</f>
        <v>0.0102775575572362</v>
      </c>
      <c r="K22" s="174">
        <f t="shared" ref="K22:K24" si="13">$H22</f>
        <v>7300</v>
      </c>
      <c r="L22" s="175">
        <f>IFERROR(($J$7+$J$9*$J$8)/(K22*$C$6),"")</f>
        <v>9.96392425488245</v>
      </c>
      <c r="M22" s="176">
        <f t="shared" ref="M22:M25" si="14">IF(L22*$C$6*$C$4/$J$8=0,"",L22*$C$6*$C$4/$J$8)</f>
        <v>0.0102775575572362</v>
      </c>
      <c r="N22" s="174">
        <f t="shared" ref="N22:N24" si="15">$H22</f>
        <v>7300</v>
      </c>
      <c r="O22" s="175">
        <f>IFERROR(($J$7+$J$9*$J$8)/(N22*$C$6),"")</f>
        <v>9.96392425488245</v>
      </c>
      <c r="P22" s="176">
        <f t="shared" ref="P22:P25" si="16">IF(O22*$C$6*$C$4/$J$8=0,"",O22*$C$6*$C$4/$J$8)</f>
        <v>0.0102775575572362</v>
      </c>
      <c r="Q22" s="174">
        <f t="shared" ref="Q22:Q24" si="17">$H22</f>
        <v>7300</v>
      </c>
      <c r="R22" s="175">
        <f>IFERROR(($J$7+$J$9*$J$8)/(Q22*$C$6),"")</f>
        <v>9.96392425488245</v>
      </c>
      <c r="S22" s="233">
        <f t="shared" ref="S22:S27" si="18">IF(R22*$C$6*$C$4/$J$8=0,"",R22*$C$6*$C$4/$J$8)</f>
        <v>0.0102775575572362</v>
      </c>
    </row>
    <row r="23" ht="15.2" spans="1:19">
      <c r="A23" s="48"/>
      <c r="B23" s="48"/>
      <c r="C23" s="130" t="s">
        <v>47</v>
      </c>
      <c r="D23" s="131" t="s">
        <v>48</v>
      </c>
      <c r="E23" s="177" t="e">
        <f>H23</f>
        <v>#REF!</v>
      </c>
      <c r="F23" s="178" t="str">
        <f>IFERROR($J$7/(E23*$C$6),"")</f>
        <v/>
      </c>
      <c r="G23" s="179" t="e">
        <f t="shared" si="11"/>
        <v>#VALUE!</v>
      </c>
      <c r="H23" s="180" t="e">
        <f>#REF!</f>
        <v>#REF!</v>
      </c>
      <c r="I23" s="178" t="str">
        <f>IFERROR($J$7/(H23*$C$6),"")</f>
        <v/>
      </c>
      <c r="J23" s="179" t="e">
        <f t="shared" si="12"/>
        <v>#VALUE!</v>
      </c>
      <c r="K23" s="180" t="e">
        <f t="shared" si="13"/>
        <v>#REF!</v>
      </c>
      <c r="L23" s="178" t="str">
        <f>IFERROR($J$7/(K23*$C$6),"")</f>
        <v/>
      </c>
      <c r="M23" s="179" t="e">
        <f t="shared" si="14"/>
        <v>#VALUE!</v>
      </c>
      <c r="N23" s="180" t="e">
        <f t="shared" si="15"/>
        <v>#REF!</v>
      </c>
      <c r="O23" s="178" t="str">
        <f>IFERROR($J$7/(N23*$C$6),"")</f>
        <v/>
      </c>
      <c r="P23" s="179" t="e">
        <f t="shared" si="16"/>
        <v>#VALUE!</v>
      </c>
      <c r="Q23" s="180" t="e">
        <f t="shared" si="17"/>
        <v>#REF!</v>
      </c>
      <c r="R23" s="178" t="str">
        <f>IFERROR($J$7/(Q23*$C$6),"")</f>
        <v/>
      </c>
      <c r="S23" s="191" t="e">
        <f t="shared" si="18"/>
        <v>#VALUE!</v>
      </c>
    </row>
    <row r="24" ht="15.2" spans="1:19">
      <c r="A24" s="48"/>
      <c r="B24" s="48"/>
      <c r="C24" s="132" t="s">
        <v>49</v>
      </c>
      <c r="D24" s="131" t="s">
        <v>46</v>
      </c>
      <c r="E24" s="180" t="e">
        <f>#REF!</f>
        <v>#REF!</v>
      </c>
      <c r="F24" s="178" t="str">
        <f>IFERROR(($J$7+$J$9*$J$8)/(E24*$C$6),"")</f>
        <v/>
      </c>
      <c r="G24" s="179" t="e">
        <f t="shared" si="11"/>
        <v>#VALUE!</v>
      </c>
      <c r="H24" s="180" t="e">
        <f>#REF!</f>
        <v>#REF!</v>
      </c>
      <c r="I24" s="178" t="str">
        <f>IFERROR(($J$7+$J$9*$J$8)/(H24*$C$6),"")</f>
        <v/>
      </c>
      <c r="J24" s="179" t="e">
        <f t="shared" si="12"/>
        <v>#VALUE!</v>
      </c>
      <c r="K24" s="180" t="e">
        <f t="shared" si="13"/>
        <v>#REF!</v>
      </c>
      <c r="L24" s="178" t="str">
        <f>IFERROR(($J$7+$J$9*$J$8)/(K24*$C$6),"")</f>
        <v/>
      </c>
      <c r="M24" s="179" t="e">
        <f t="shared" si="14"/>
        <v>#VALUE!</v>
      </c>
      <c r="N24" s="180" t="e">
        <f t="shared" si="15"/>
        <v>#REF!</v>
      </c>
      <c r="O24" s="178" t="str">
        <f>IFERROR(($J$7+$J$9*$J$8)/(N24*$C$6),"")</f>
        <v/>
      </c>
      <c r="P24" s="179" t="e">
        <f t="shared" si="16"/>
        <v>#VALUE!</v>
      </c>
      <c r="Q24" s="180" t="e">
        <f t="shared" si="17"/>
        <v>#REF!</v>
      </c>
      <c r="R24" s="178" t="str">
        <f>IFERROR(($J$7+$J$9*$J$8)/(Q24*$C$6),"")</f>
        <v/>
      </c>
      <c r="S24" s="191" t="e">
        <f t="shared" si="18"/>
        <v>#VALUE!</v>
      </c>
    </row>
    <row r="25" ht="19" spans="1:19">
      <c r="A25" s="48"/>
      <c r="B25" s="48"/>
      <c r="C25" s="130" t="s">
        <v>50</v>
      </c>
      <c r="D25" s="133" t="s">
        <v>48</v>
      </c>
      <c r="E25" s="177"/>
      <c r="F25" s="181"/>
      <c r="G25" s="182"/>
      <c r="H25" s="180"/>
      <c r="I25" s="178"/>
      <c r="J25" s="179" t="str">
        <f t="shared" si="12"/>
        <v/>
      </c>
      <c r="K25" s="186">
        <v>3500</v>
      </c>
      <c r="L25" s="178">
        <f>IFERROR($J$7/(K25*$C$6),"")</f>
        <v>17.6839285714286</v>
      </c>
      <c r="M25" s="179">
        <f t="shared" si="14"/>
        <v>0.0182405635652893</v>
      </c>
      <c r="N25" s="186">
        <v>3500</v>
      </c>
      <c r="O25" s="178">
        <f>IFERROR($J$7/(N25*$C$6),"")</f>
        <v>17.6839285714286</v>
      </c>
      <c r="P25" s="179">
        <f t="shared" si="16"/>
        <v>0.0182405635652893</v>
      </c>
      <c r="Q25" s="180"/>
      <c r="R25" s="178"/>
      <c r="S25" s="235" t="str">
        <f t="shared" si="18"/>
        <v/>
      </c>
    </row>
    <row r="26" ht="19" spans="1:19">
      <c r="A26" s="48"/>
      <c r="B26" s="48"/>
      <c r="C26" s="130" t="s">
        <v>51</v>
      </c>
      <c r="D26" s="134" t="s">
        <v>52</v>
      </c>
      <c r="E26" s="183"/>
      <c r="F26" s="184"/>
      <c r="G26" s="185"/>
      <c r="H26" s="186"/>
      <c r="I26" s="178"/>
      <c r="J26" s="179"/>
      <c r="K26" s="180"/>
      <c r="L26" s="178"/>
      <c r="M26" s="234"/>
      <c r="N26" s="180"/>
      <c r="O26" s="178"/>
      <c r="P26" s="234"/>
      <c r="Q26" s="180">
        <v>3500</v>
      </c>
      <c r="R26" s="178">
        <f>IFERROR(($J$7+$J$8)/(Q26*$C$6),"")</f>
        <v>24.4703142857143</v>
      </c>
      <c r="S26" s="191">
        <f t="shared" si="18"/>
        <v>0.0252405635652893</v>
      </c>
    </row>
    <row r="27" ht="15.2" spans="1:19">
      <c r="A27" s="48"/>
      <c r="B27" s="48"/>
      <c r="C27" s="132" t="s">
        <v>53</v>
      </c>
      <c r="D27" s="134" t="s">
        <v>52</v>
      </c>
      <c r="E27" s="183"/>
      <c r="F27" s="184"/>
      <c r="G27" s="185"/>
      <c r="H27" s="187" t="e">
        <f>#REF!</f>
        <v>#REF!</v>
      </c>
      <c r="I27" s="178">
        <v>27</v>
      </c>
      <c r="J27" s="179">
        <f>IF(I27*$C$6*$C$4/$J$8=0,"",I27*$C$6*$C$4/$J$8)</f>
        <v>0.0278498759070155</v>
      </c>
      <c r="K27" s="180"/>
      <c r="L27" s="178"/>
      <c r="M27" s="234"/>
      <c r="N27" s="180"/>
      <c r="O27" s="178"/>
      <c r="P27" s="234"/>
      <c r="Q27" s="236"/>
      <c r="R27" s="178"/>
      <c r="S27" s="235" t="str">
        <f t="shared" si="18"/>
        <v/>
      </c>
    </row>
    <row r="28" ht="15.2" spans="1:19">
      <c r="A28" s="48"/>
      <c r="B28" s="135" t="s">
        <v>54</v>
      </c>
      <c r="C28" s="130" t="s">
        <v>55</v>
      </c>
      <c r="D28" s="134" t="s">
        <v>56</v>
      </c>
      <c r="E28" s="177">
        <v>500</v>
      </c>
      <c r="F28" s="178">
        <f t="shared" ref="F28:F29" si="19">IFERROR($J$7/(E28*$C$6),"")</f>
        <v>123.7875</v>
      </c>
      <c r="G28" s="179">
        <f t="shared" ref="G28:G29" si="20">IF(F28*$C$6*$C$4/$J$8=0,"",F28*$C$6*$C$4/$J$8)</f>
        <v>0.127683944957025</v>
      </c>
      <c r="H28" s="180"/>
      <c r="I28" s="178"/>
      <c r="J28" s="179"/>
      <c r="K28" s="186"/>
      <c r="L28" s="178"/>
      <c r="M28" s="234"/>
      <c r="N28" s="186"/>
      <c r="O28" s="178"/>
      <c r="P28" s="234"/>
      <c r="Q28" s="180"/>
      <c r="R28" s="178"/>
      <c r="S28" s="235"/>
    </row>
    <row r="29" ht="15.2" spans="1:19">
      <c r="A29" s="48"/>
      <c r="B29" s="48"/>
      <c r="C29" s="130" t="s">
        <v>55</v>
      </c>
      <c r="D29" s="134" t="s">
        <v>48</v>
      </c>
      <c r="E29" s="177">
        <v>500</v>
      </c>
      <c r="F29" s="178">
        <f t="shared" si="19"/>
        <v>123.7875</v>
      </c>
      <c r="G29" s="179">
        <f t="shared" si="20"/>
        <v>0.127683944957025</v>
      </c>
      <c r="H29" s="180"/>
      <c r="I29" s="178"/>
      <c r="J29" s="179"/>
      <c r="K29" s="186"/>
      <c r="L29" s="178"/>
      <c r="M29" s="234"/>
      <c r="N29" s="186"/>
      <c r="O29" s="178"/>
      <c r="P29" s="234"/>
      <c r="Q29" s="180"/>
      <c r="R29" s="178"/>
      <c r="S29" s="235"/>
    </row>
    <row r="30" ht="19" spans="1:19">
      <c r="A30" s="48"/>
      <c r="B30" s="48"/>
      <c r="C30" s="130" t="s">
        <v>57</v>
      </c>
      <c r="D30" s="134" t="s">
        <v>48</v>
      </c>
      <c r="E30" s="177"/>
      <c r="F30" s="181"/>
      <c r="G30" s="182"/>
      <c r="H30" s="180"/>
      <c r="I30" s="178"/>
      <c r="J30" s="179"/>
      <c r="K30" s="180">
        <f>7000/7</f>
        <v>1000</v>
      </c>
      <c r="L30" s="178">
        <f>IFERROR($J$7/(K30*$C$6),"")</f>
        <v>61.89375</v>
      </c>
      <c r="M30" s="179">
        <f>IF(L30*$C$6*$C$4/$J$8=0,"",L30*$C$6*$C$4/$J$8)</f>
        <v>0.0638419724785127</v>
      </c>
      <c r="N30" s="180">
        <f>12000/12</f>
        <v>1000</v>
      </c>
      <c r="O30" s="178">
        <f>IFERROR($J$7/(N30*$C$6),"")</f>
        <v>61.89375</v>
      </c>
      <c r="P30" s="179">
        <f>IF(O30*$C$6*$C$4/$J$8=0,"",O30*$C$6*$C$4/$J$8)</f>
        <v>0.0638419724785127</v>
      </c>
      <c r="Q30" s="180"/>
      <c r="R30" s="178"/>
      <c r="S30" s="235"/>
    </row>
    <row r="31" ht="19" spans="1:19">
      <c r="A31" s="48"/>
      <c r="B31" s="48"/>
      <c r="C31" s="130" t="s">
        <v>58</v>
      </c>
      <c r="D31" s="133" t="s">
        <v>52</v>
      </c>
      <c r="E31" s="177"/>
      <c r="F31" s="181"/>
      <c r="G31" s="182"/>
      <c r="H31" s="180"/>
      <c r="I31" s="178"/>
      <c r="J31" s="179"/>
      <c r="K31" s="186"/>
      <c r="L31" s="178"/>
      <c r="M31" s="234"/>
      <c r="N31" s="186"/>
      <c r="O31" s="178"/>
      <c r="P31" s="234"/>
      <c r="Q31" s="180">
        <f>13000/8</f>
        <v>1625</v>
      </c>
      <c r="R31" s="178">
        <f>IFERROR(($J$7+$J$8)/(Q31*$C$6),"")</f>
        <v>52.7052923076923</v>
      </c>
      <c r="S31" s="191">
        <f t="shared" ref="S31:S33" si="21">IF(R31*$C$6*$C$4/$J$8=0,"",R31*$C$6*$C$4/$J$8)</f>
        <v>0.0543642907560078</v>
      </c>
    </row>
    <row r="32" ht="15.2" spans="1:19">
      <c r="A32" s="48"/>
      <c r="B32" s="48"/>
      <c r="C32" s="130" t="s">
        <v>59</v>
      </c>
      <c r="D32" s="134" t="s">
        <v>52</v>
      </c>
      <c r="E32" s="183"/>
      <c r="F32" s="184"/>
      <c r="G32" s="185"/>
      <c r="H32" s="186">
        <v>800</v>
      </c>
      <c r="I32" s="178">
        <f>IFERROR(($J$7+$J$8)/(H32*$C$6),"")</f>
        <v>107.057625</v>
      </c>
      <c r="J32" s="179">
        <f t="shared" ref="J32:J35" si="22">IF(I32*$C$6*$C$4/$J$8=0,"",I32*$C$6*$C$4/$J$8)</f>
        <v>0.110427465598141</v>
      </c>
      <c r="K32" s="180"/>
      <c r="L32" s="178"/>
      <c r="M32" s="234"/>
      <c r="N32" s="180"/>
      <c r="O32" s="178"/>
      <c r="P32" s="234"/>
      <c r="Q32" s="236"/>
      <c r="R32" s="178" t="str">
        <f>IFERROR($J$7/(Q32*$C$6),"")</f>
        <v/>
      </c>
      <c r="S32" s="235" t="e">
        <f t="shared" si="21"/>
        <v>#VALUE!</v>
      </c>
    </row>
    <row r="33" ht="19" spans="1:19">
      <c r="A33" s="48"/>
      <c r="B33" s="48"/>
      <c r="C33" s="130" t="s">
        <v>60</v>
      </c>
      <c r="D33" s="133" t="s">
        <v>61</v>
      </c>
      <c r="E33" s="180">
        <v>350</v>
      </c>
      <c r="F33" s="178">
        <f>IFERROR($J$8/(E33*$C$6),"")</f>
        <v>67.8638571428571</v>
      </c>
      <c r="G33" s="179">
        <f t="shared" ref="G33:G35" si="23">IF(F33*$C$6*$C$4/$J$8=0,"",F33*$C$6*$C$4/$J$8)</f>
        <v>0.07</v>
      </c>
      <c r="H33" s="180">
        <v>350</v>
      </c>
      <c r="I33" s="178">
        <f>IFERROR($J$8/(H33*$C$6),"")</f>
        <v>67.8638571428571</v>
      </c>
      <c r="J33" s="179">
        <f t="shared" si="22"/>
        <v>0.07</v>
      </c>
      <c r="K33" s="180">
        <v>350</v>
      </c>
      <c r="L33" s="178">
        <f>IFERROR($J$8/(K33*$C$6),"")</f>
        <v>67.8638571428571</v>
      </c>
      <c r="M33" s="179">
        <f t="shared" ref="M33:M35" si="24">IF(L33*$C$6*$C$4/$J$8=0,"",L33*$C$6*$C$4/$J$8)</f>
        <v>0.07</v>
      </c>
      <c r="N33" s="180">
        <v>350</v>
      </c>
      <c r="O33" s="178">
        <f>IFERROR($J$8/(N33*$C$6),"")</f>
        <v>67.8638571428571</v>
      </c>
      <c r="P33" s="179">
        <f t="shared" ref="P33:P35" si="25">IF(O33*$C$6*$C$4/$J$8=0,"",O33*$C$6*$C$4/$J$8)</f>
        <v>0.07</v>
      </c>
      <c r="Q33" s="236"/>
      <c r="R33" s="178"/>
      <c r="S33" s="235" t="str">
        <f t="shared" si="21"/>
        <v/>
      </c>
    </row>
    <row r="34" ht="19" spans="1:19">
      <c r="A34" s="48"/>
      <c r="B34" s="48"/>
      <c r="C34" s="130" t="s">
        <v>62</v>
      </c>
      <c r="D34" s="134" t="s">
        <v>48</v>
      </c>
      <c r="E34" s="187">
        <f t="shared" ref="E34:E35" si="26">3500/2</f>
        <v>1750</v>
      </c>
      <c r="F34" s="178">
        <f>IFERROR(($J$7)/(E34*$C$6),"")</f>
        <v>35.3678571428571</v>
      </c>
      <c r="G34" s="179">
        <f t="shared" si="23"/>
        <v>0.0364811271305787</v>
      </c>
      <c r="H34" s="187">
        <f t="shared" ref="H34:H35" si="27">3500/2</f>
        <v>1750</v>
      </c>
      <c r="I34" s="178">
        <f>IFERROR(($J$7)/(H34*$C$6),"")</f>
        <v>35.3678571428571</v>
      </c>
      <c r="J34" s="179">
        <f t="shared" si="22"/>
        <v>0.0364811271305787</v>
      </c>
      <c r="K34" s="187">
        <f t="shared" ref="K34:K35" si="28">3500/2</f>
        <v>1750</v>
      </c>
      <c r="L34" s="178">
        <f>IFERROR(($J$7)/(K34*$C$6),"")</f>
        <v>35.3678571428571</v>
      </c>
      <c r="M34" s="179">
        <f t="shared" si="24"/>
        <v>0.0364811271305787</v>
      </c>
      <c r="N34" s="187">
        <f t="shared" ref="N34:N35" si="29">3500/2</f>
        <v>1750</v>
      </c>
      <c r="O34" s="178">
        <f>IFERROR(($J$7)/(N34*$C$6),"")</f>
        <v>35.3678571428571</v>
      </c>
      <c r="P34" s="179">
        <f t="shared" si="25"/>
        <v>0.0364811271305787</v>
      </c>
      <c r="Q34" s="180"/>
      <c r="R34" s="178"/>
      <c r="S34" s="191"/>
    </row>
    <row r="35" ht="19" spans="1:19">
      <c r="A35" s="48"/>
      <c r="B35" s="48"/>
      <c r="C35" s="130" t="s">
        <v>63</v>
      </c>
      <c r="D35" s="134" t="s">
        <v>61</v>
      </c>
      <c r="E35" s="187">
        <f t="shared" si="26"/>
        <v>1750</v>
      </c>
      <c r="F35" s="178">
        <f>IFERROR(($J$8)/(E35*$C$6),"")</f>
        <v>13.5727714285714</v>
      </c>
      <c r="G35" s="179">
        <f t="shared" si="23"/>
        <v>0.014</v>
      </c>
      <c r="H35" s="187">
        <f t="shared" si="27"/>
        <v>1750</v>
      </c>
      <c r="I35" s="178">
        <f>IFERROR(($J$8)/(H35*$C$6),"")</f>
        <v>13.5727714285714</v>
      </c>
      <c r="J35" s="179">
        <f t="shared" si="22"/>
        <v>0.014</v>
      </c>
      <c r="K35" s="187">
        <f t="shared" si="28"/>
        <v>1750</v>
      </c>
      <c r="L35" s="178">
        <f>IFERROR(($J$8)/(K35*$C$6),"")</f>
        <v>13.5727714285714</v>
      </c>
      <c r="M35" s="179">
        <f t="shared" si="24"/>
        <v>0.014</v>
      </c>
      <c r="N35" s="187">
        <f t="shared" si="29"/>
        <v>1750</v>
      </c>
      <c r="O35" s="178">
        <f>IFERROR(($J$8)/(N35*$C$6),"")</f>
        <v>13.5727714285714</v>
      </c>
      <c r="P35" s="179">
        <f t="shared" si="25"/>
        <v>0.014</v>
      </c>
      <c r="Q35" s="180"/>
      <c r="R35" s="178"/>
      <c r="S35" s="191"/>
    </row>
    <row r="36" ht="19" spans="1:19">
      <c r="A36" s="48"/>
      <c r="B36" s="48"/>
      <c r="C36" s="130" t="s">
        <v>64</v>
      </c>
      <c r="D36" s="134" t="s">
        <v>65</v>
      </c>
      <c r="E36" s="188"/>
      <c r="F36" s="189"/>
      <c r="G36" s="190"/>
      <c r="H36" s="180"/>
      <c r="I36" s="178"/>
      <c r="J36" s="234"/>
      <c r="K36" s="180"/>
      <c r="L36" s="178"/>
      <c r="M36" s="234"/>
      <c r="N36" s="180"/>
      <c r="O36" s="178"/>
      <c r="P36" s="234"/>
      <c r="Q36" s="180">
        <v>1200</v>
      </c>
      <c r="R36" s="178">
        <f>IFERROR(($J$7+(1-$J$9)*$J$8)/(Q36*$C$6),"")</f>
        <v>62.3360024494651</v>
      </c>
      <c r="S36" s="191">
        <f t="shared" ref="S36:S41" si="30">IF(R36*$C$6*$C$4/$J$8=0,"",R36*$C$6*$C$4/$J$8)</f>
        <v>0.0642981456576674</v>
      </c>
    </row>
    <row r="37" ht="19" spans="1:19">
      <c r="A37" s="48"/>
      <c r="B37" s="49"/>
      <c r="C37" s="130" t="s">
        <v>66</v>
      </c>
      <c r="D37" s="134" t="s">
        <v>61</v>
      </c>
      <c r="E37" s="192"/>
      <c r="F37" s="178"/>
      <c r="G37" s="193"/>
      <c r="H37" s="180"/>
      <c r="I37" s="178"/>
      <c r="J37" s="234"/>
      <c r="K37" s="180"/>
      <c r="L37" s="178"/>
      <c r="M37" s="234"/>
      <c r="N37" s="180"/>
      <c r="O37" s="178"/>
      <c r="P37" s="234"/>
      <c r="Q37" s="180">
        <v>1200</v>
      </c>
      <c r="R37" s="178">
        <f t="shared" ref="R37:R39" si="31">IFERROR($J$8/(Q37*$C$6),"")</f>
        <v>19.793625</v>
      </c>
      <c r="S37" s="191">
        <f t="shared" si="30"/>
        <v>0.0204166666666667</v>
      </c>
    </row>
    <row r="38" ht="19" spans="1:19">
      <c r="A38" s="48"/>
      <c r="B38" s="136" t="s">
        <v>67</v>
      </c>
      <c r="C38" s="130" t="s">
        <v>68</v>
      </c>
      <c r="D38" s="133" t="s">
        <v>61</v>
      </c>
      <c r="E38" s="180">
        <v>2400</v>
      </c>
      <c r="F38" s="178">
        <f t="shared" ref="F38:F39" si="32">IFERROR($J$8/(E38*$C$6),"")</f>
        <v>9.8968125</v>
      </c>
      <c r="G38" s="179">
        <f t="shared" ref="G38:G41" si="33">IF(F38*$C$6*$C$4/$J$8=0,"",F38*$C$6*$C$4/$J$8)</f>
        <v>0.0102083333333333</v>
      </c>
      <c r="H38" s="180">
        <f>$E$38</f>
        <v>2400</v>
      </c>
      <c r="I38" s="178">
        <f t="shared" ref="I38:I39" si="34">IFERROR($J$8/(H38*$C$6),"")</f>
        <v>9.8968125</v>
      </c>
      <c r="J38" s="179">
        <f t="shared" ref="J38:J41" si="35">IF(I38*$C$6*$C$4/$J$8=0,"",I38*$C$6*$C$4/$J$8)</f>
        <v>0.0102083333333333</v>
      </c>
      <c r="K38" s="180">
        <f>$E$38</f>
        <v>2400</v>
      </c>
      <c r="L38" s="178">
        <f t="shared" ref="L38:L39" si="36">IFERROR($J$8/(K38*$C$6),"")</f>
        <v>9.8968125</v>
      </c>
      <c r="M38" s="179">
        <f t="shared" ref="M38:M41" si="37">IF(L38*$C$6*$C$4/$J$8=0,"",L38*$C$6*$C$4/$J$8)</f>
        <v>0.0102083333333333</v>
      </c>
      <c r="N38" s="180">
        <f>$E$38</f>
        <v>2400</v>
      </c>
      <c r="O38" s="178">
        <f t="shared" ref="O38:O39" si="38">IFERROR($J$8/(N38*$C$6),"")</f>
        <v>9.8968125</v>
      </c>
      <c r="P38" s="179">
        <f t="shared" ref="P38:P41" si="39">IF(O38*$C$6*$C$4/$J$8=0,"",O38*$C$6*$C$4/$J$8)</f>
        <v>0.0102083333333333</v>
      </c>
      <c r="Q38" s="180">
        <f>$E$38</f>
        <v>2400</v>
      </c>
      <c r="R38" s="178">
        <f t="shared" si="31"/>
        <v>9.8968125</v>
      </c>
      <c r="S38" s="191">
        <f t="shared" si="30"/>
        <v>0.0102083333333333</v>
      </c>
    </row>
    <row r="39" ht="15.2" spans="1:19">
      <c r="A39" s="48"/>
      <c r="B39" s="49"/>
      <c r="C39" s="132" t="s">
        <v>69</v>
      </c>
      <c r="D39" s="131" t="s">
        <v>61</v>
      </c>
      <c r="E39" s="180">
        <v>1800</v>
      </c>
      <c r="F39" s="178">
        <f t="shared" si="32"/>
        <v>13.19575</v>
      </c>
      <c r="G39" s="179">
        <f t="shared" si="33"/>
        <v>0.0136111111111111</v>
      </c>
      <c r="H39" s="180">
        <f>$E$39</f>
        <v>1800</v>
      </c>
      <c r="I39" s="178">
        <f t="shared" si="34"/>
        <v>13.19575</v>
      </c>
      <c r="J39" s="179">
        <f t="shared" si="35"/>
        <v>0.0136111111111111</v>
      </c>
      <c r="K39" s="180">
        <f>$E$39</f>
        <v>1800</v>
      </c>
      <c r="L39" s="178">
        <f t="shared" si="36"/>
        <v>13.19575</v>
      </c>
      <c r="M39" s="179">
        <f t="shared" si="37"/>
        <v>0.0136111111111111</v>
      </c>
      <c r="N39" s="180">
        <f>$E$39</f>
        <v>1800</v>
      </c>
      <c r="O39" s="178">
        <f t="shared" si="38"/>
        <v>13.19575</v>
      </c>
      <c r="P39" s="179">
        <f t="shared" si="39"/>
        <v>0.0136111111111111</v>
      </c>
      <c r="Q39" s="180">
        <f>$E$39</f>
        <v>1800</v>
      </c>
      <c r="R39" s="178">
        <f t="shared" si="31"/>
        <v>13.19575</v>
      </c>
      <c r="S39" s="191">
        <f t="shared" si="30"/>
        <v>0.0136111111111111</v>
      </c>
    </row>
    <row r="40" ht="15.2" spans="1:19">
      <c r="A40" s="48"/>
      <c r="B40" s="94" t="s">
        <v>70</v>
      </c>
      <c r="C40" s="42"/>
      <c r="D40" s="137" t="s">
        <v>48</v>
      </c>
      <c r="E40" s="180">
        <v>60</v>
      </c>
      <c r="F40" s="178">
        <f>IFERROR(($J$7*E17)/(E40*$C$6),"")</f>
        <v>20.63125</v>
      </c>
      <c r="G40" s="179">
        <f t="shared" si="33"/>
        <v>0.0212806574928376</v>
      </c>
      <c r="H40" s="180">
        <v>60</v>
      </c>
      <c r="I40" s="178">
        <f>IFERROR(($J$7*H17)/(H40*$C$6),"")</f>
        <v>51.578125</v>
      </c>
      <c r="J40" s="179">
        <f t="shared" si="35"/>
        <v>0.0532016437320939</v>
      </c>
      <c r="K40" s="180">
        <v>60</v>
      </c>
      <c r="L40" s="178">
        <f>IFERROR(($J$7*K17)/(K40*$C$6),"")</f>
        <v>51.578125</v>
      </c>
      <c r="M40" s="179">
        <f t="shared" si="37"/>
        <v>0.0532016437320939</v>
      </c>
      <c r="N40" s="180">
        <v>60</v>
      </c>
      <c r="O40" s="178">
        <f>IFERROR(($J$7*N17)/(N40*$C$6),"")</f>
        <v>51.578125</v>
      </c>
      <c r="P40" s="179">
        <f t="shared" si="39"/>
        <v>0.0532016437320939</v>
      </c>
      <c r="Q40" s="180">
        <v>60</v>
      </c>
      <c r="R40" s="178">
        <f>IFERROR(($J$7*Q17)/(Q40*$C$6),"")</f>
        <v>51.578125</v>
      </c>
      <c r="S40" s="191">
        <f t="shared" si="30"/>
        <v>0.0532016437320939</v>
      </c>
    </row>
    <row r="41" ht="15.2" collapsed="1" spans="1:19">
      <c r="A41" s="48"/>
      <c r="B41" s="94" t="s">
        <v>71</v>
      </c>
      <c r="C41" s="42"/>
      <c r="D41" s="137" t="s">
        <v>72</v>
      </c>
      <c r="E41" s="195" t="s">
        <v>73</v>
      </c>
      <c r="F41" s="196">
        <v>9</v>
      </c>
      <c r="G41" s="197">
        <f t="shared" si="33"/>
        <v>0.00928329196900517</v>
      </c>
      <c r="H41" s="198" t="s">
        <v>73</v>
      </c>
      <c r="I41" s="184">
        <v>9</v>
      </c>
      <c r="J41" s="179">
        <f t="shared" si="35"/>
        <v>0.00928329196900517</v>
      </c>
      <c r="K41" s="198" t="s">
        <v>73</v>
      </c>
      <c r="L41" s="184">
        <v>9</v>
      </c>
      <c r="M41" s="179">
        <f t="shared" si="37"/>
        <v>0.00928329196900517</v>
      </c>
      <c r="N41" s="198" t="s">
        <v>73</v>
      </c>
      <c r="O41" s="184">
        <v>9</v>
      </c>
      <c r="P41" s="179">
        <f t="shared" si="39"/>
        <v>0.00928329196900517</v>
      </c>
      <c r="Q41" s="198" t="s">
        <v>73</v>
      </c>
      <c r="R41" s="184">
        <v>9</v>
      </c>
      <c r="S41" s="191">
        <f t="shared" si="30"/>
        <v>0.00928329196900517</v>
      </c>
    </row>
    <row r="42" ht="15.2" hidden="1" outlineLevel="1" spans="1:19">
      <c r="A42" s="48"/>
      <c r="B42" s="83" t="s">
        <v>74</v>
      </c>
      <c r="C42" s="41"/>
      <c r="D42" s="138">
        <v>0.1</v>
      </c>
      <c r="E42" s="199"/>
      <c r="F42" s="200"/>
      <c r="G42" s="201"/>
      <c r="H42" s="199"/>
      <c r="I42" s="200"/>
      <c r="J42" s="201"/>
      <c r="K42" s="199"/>
      <c r="L42" s="200"/>
      <c r="M42" s="201"/>
      <c r="N42" s="199"/>
      <c r="O42" s="200"/>
      <c r="P42" s="201"/>
      <c r="Q42" s="199"/>
      <c r="R42" s="200"/>
      <c r="S42" s="201"/>
    </row>
    <row r="43" ht="15.2" spans="1:19">
      <c r="A43" s="48"/>
      <c r="B43" s="95" t="s">
        <v>75</v>
      </c>
      <c r="C43" s="58"/>
      <c r="D43" s="137" t="s">
        <v>76</v>
      </c>
      <c r="E43" s="198" t="s">
        <v>73</v>
      </c>
      <c r="F43" s="202">
        <f>SUM(F22:F42)*0.5/7</f>
        <v>30.5048016049406</v>
      </c>
      <c r="G43" s="203">
        <f>IF(F43*$C$6*$C$4/$J$8=0,"",F43*$C$6*$C$4/$J$8)</f>
        <v>0.0314649977505823</v>
      </c>
      <c r="H43" s="198" t="s">
        <v>73</v>
      </c>
      <c r="I43" s="226">
        <f>SUM(I22:I42)*0.5/7</f>
        <v>24.6069087477977</v>
      </c>
      <c r="J43" s="179">
        <f t="shared" ref="J43:J44" si="40">IF(I43*$C$6*$C$4/$J$8=0,"",I43*$C$6*$C$4/$J$8)</f>
        <v>0.0253814575956082</v>
      </c>
      <c r="K43" s="198" t="s">
        <v>73</v>
      </c>
      <c r="L43" s="226">
        <f>SUM(L22:L42)*0.5/7</f>
        <v>20.7154840028998</v>
      </c>
      <c r="M43" s="179">
        <f t="shared" ref="M43:M44" si="41">IF(L43*$C$6*$C$4/$J$8=0,"",L43*$C$6*$C$4/$J$8)</f>
        <v>0.0213675429197972</v>
      </c>
      <c r="N43" s="198" t="s">
        <v>73</v>
      </c>
      <c r="O43" s="226">
        <f>SUM(O22:O42)*0.5/7</f>
        <v>20.7154840028998</v>
      </c>
      <c r="P43" s="179">
        <f t="shared" ref="P43:P44" si="42">IF(O43*$C$6*$C$4/$J$8=0,"",O43*$C$6*$C$4/$J$8)</f>
        <v>0.0213675429197972</v>
      </c>
      <c r="Q43" s="198" t="s">
        <v>73</v>
      </c>
      <c r="R43" s="226">
        <f>SUM(R22:R42)*0.5/7</f>
        <v>18.0671318426967</v>
      </c>
      <c r="S43" s="191">
        <f t="shared" ref="S43:S44" si="43">IF(R43*$C$6*$C$4/$J$8=0,"",R43*$C$6*$C$4/$J$8)</f>
        <v>0.0186358288820293</v>
      </c>
    </row>
    <row r="44" ht="15.95" spans="1:19">
      <c r="A44" s="48"/>
      <c r="B44" s="95" t="s">
        <v>77</v>
      </c>
      <c r="C44" s="58"/>
      <c r="D44" s="139" t="s">
        <v>78</v>
      </c>
      <c r="E44" s="204"/>
      <c r="F44" s="205"/>
      <c r="G44" s="205"/>
      <c r="H44" s="205"/>
      <c r="I44" s="205">
        <f>SUM(I22:I42)*H16</f>
        <v>17.2248361234584</v>
      </c>
      <c r="J44" s="197">
        <f t="shared" si="40"/>
        <v>0.0177670203169257</v>
      </c>
      <c r="K44" s="205"/>
      <c r="L44" s="205">
        <f>SUM(L22:L42)*K16</f>
        <v>14.5008388020298</v>
      </c>
      <c r="M44" s="238">
        <f t="shared" si="41"/>
        <v>0.014957280043858</v>
      </c>
      <c r="N44" s="205"/>
      <c r="O44" s="205">
        <f>SUM(O22:O42)*N16</f>
        <v>14.5008388020298</v>
      </c>
      <c r="P44" s="238">
        <f t="shared" si="42"/>
        <v>0.014957280043858</v>
      </c>
      <c r="Q44" s="205"/>
      <c r="R44" s="205">
        <f>SUM(R22:R42)*Q16</f>
        <v>12.6469922898877</v>
      </c>
      <c r="S44" s="238">
        <f t="shared" si="43"/>
        <v>0.0130450802174205</v>
      </c>
    </row>
    <row r="45" ht="15.95" spans="1:19">
      <c r="A45" s="48"/>
      <c r="B45" s="140" t="s">
        <v>79</v>
      </c>
      <c r="C45" s="117"/>
      <c r="D45" s="141"/>
      <c r="E45" s="206">
        <f>$J$8/(F45*$C$6)</f>
        <v>51.909532817402</v>
      </c>
      <c r="F45" s="207">
        <f t="shared" ref="F45:G45" si="44">SUM(F22:F44)</f>
        <v>457.572024074109</v>
      </c>
      <c r="G45" s="208" t="e">
        <f t="shared" si="44"/>
        <v>#VALUE!</v>
      </c>
      <c r="H45" s="206">
        <f>$J$8/(I45*$C$6)</f>
        <v>61.4822670550704</v>
      </c>
      <c r="I45" s="207">
        <f t="shared" ref="I45:J45" si="45">SUM(I22:I44)</f>
        <v>386.328467340424</v>
      </c>
      <c r="J45" s="208" t="e">
        <f t="shared" si="45"/>
        <v>#VALUE!</v>
      </c>
      <c r="K45" s="206">
        <f>$J$8/(L45*$C$6)</f>
        <v>73.0317734705147</v>
      </c>
      <c r="L45" s="207">
        <f t="shared" ref="L45:M45" si="46">SUM(L22:L44)</f>
        <v>325.233098845526</v>
      </c>
      <c r="M45" s="208" t="e">
        <f t="shared" si="46"/>
        <v>#VALUE!</v>
      </c>
      <c r="N45" s="206">
        <f>$J$8/(O45*$C$6)</f>
        <v>73.0317734705147</v>
      </c>
      <c r="O45" s="207">
        <f t="shared" ref="O45:P45" si="47">SUM(O22:O44)</f>
        <v>325.233098845526</v>
      </c>
      <c r="P45" s="208" t="e">
        <f t="shared" si="47"/>
        <v>#VALUE!</v>
      </c>
      <c r="Q45" s="206">
        <f>$J$8/(R45*$C$6)</f>
        <v>83.7370617651967</v>
      </c>
      <c r="R45" s="207">
        <f t="shared" ref="R45:S45" si="48">SUM(R22:R44)</f>
        <v>283.653969930339</v>
      </c>
      <c r="S45" s="254" t="e">
        <f t="shared" si="48"/>
        <v>#VALUE!</v>
      </c>
    </row>
    <row r="46" ht="15.95" spans="1:19">
      <c r="A46" s="49"/>
      <c r="B46" s="95" t="s">
        <v>80</v>
      </c>
      <c r="C46" s="57"/>
      <c r="D46" s="142"/>
      <c r="E46" s="209">
        <f>$J$8*$C$9/(F46*$C$6)</f>
        <v>51.909532817402</v>
      </c>
      <c r="F46" s="210">
        <f>F45*$C$9</f>
        <v>228.786012037054</v>
      </c>
      <c r="G46" s="211">
        <f>F46*$C$6*$C$4/($J$8*$C$9)</f>
        <v>0.471974966258735</v>
      </c>
      <c r="H46" s="209">
        <f>$J$8*$C$9/(I46*$C$6)</f>
        <v>61.4822670550704</v>
      </c>
      <c r="I46" s="210">
        <f>I45*$C$9</f>
        <v>193.164233670212</v>
      </c>
      <c r="J46" s="211">
        <f>I46*$C$6*$C$4/($J$8*$C$9)</f>
        <v>0.398488884251049</v>
      </c>
      <c r="K46" s="209">
        <f>$J$8*$C$9/(L46*$C$6)</f>
        <v>73.0317734705147</v>
      </c>
      <c r="L46" s="210">
        <f>L45*$C$9</f>
        <v>162.616549422763</v>
      </c>
      <c r="M46" s="211">
        <f>L46*$C$6*$C$4/($J$8*$C$9)</f>
        <v>0.335470423840816</v>
      </c>
      <c r="N46" s="209">
        <f>$J$8*$C$9/(O46*$C$6)</f>
        <v>73.0317734705147</v>
      </c>
      <c r="O46" s="210">
        <f>O45*$C$9</f>
        <v>162.616549422763</v>
      </c>
      <c r="P46" s="211">
        <f>O46*$C$6*$C$4/($J$8*$C$9)</f>
        <v>0.335470423840816</v>
      </c>
      <c r="Q46" s="209">
        <f>$J$8*$C$9/(R46*$C$6)</f>
        <v>83.7370617651967</v>
      </c>
      <c r="R46" s="210">
        <f>R45*$C$9</f>
        <v>141.826984965169</v>
      </c>
      <c r="S46" s="250">
        <f>R46*$C$6*$C$4/($J$8*$C$9)</f>
        <v>0.292582513447861</v>
      </c>
    </row>
    <row r="47" ht="15.95" spans="1:19">
      <c r="A47" s="126" t="s">
        <v>81</v>
      </c>
      <c r="B47" s="140" t="s">
        <v>82</v>
      </c>
      <c r="C47" s="117"/>
      <c r="D47" s="117"/>
      <c r="E47" s="212">
        <v>0</v>
      </c>
      <c r="F47" s="117"/>
      <c r="G47" s="117"/>
      <c r="H47" s="212">
        <f>61600</f>
        <v>61600</v>
      </c>
      <c r="I47" s="117"/>
      <c r="J47" s="118"/>
      <c r="K47" s="280">
        <v>100000</v>
      </c>
      <c r="L47" s="117"/>
      <c r="M47" s="118"/>
      <c r="N47" s="212">
        <v>150000</v>
      </c>
      <c r="O47" s="117"/>
      <c r="P47" s="118"/>
      <c r="Q47" s="212">
        <v>200000</v>
      </c>
      <c r="R47" s="117"/>
      <c r="S47" s="161"/>
    </row>
    <row r="48" ht="15.2" spans="1:19">
      <c r="A48" s="48"/>
      <c r="B48" s="143" t="s">
        <v>83</v>
      </c>
      <c r="C48" s="144"/>
      <c r="D48" s="144"/>
      <c r="E48" s="213">
        <f>(F45*$C$8/12+F46*(12-$C$8)/12)*$C$4*$C$5*$C$7</f>
        <v>41972166.6242698</v>
      </c>
      <c r="F48" s="144"/>
      <c r="G48" s="144"/>
      <c r="H48" s="213">
        <f>(I45*$C$8/12+I46*(12-$C$8)/12)*$C$4*$C$5*$C$7</f>
        <v>35437137.6522024</v>
      </c>
      <c r="I48" s="144"/>
      <c r="J48" s="102"/>
      <c r="K48" s="213">
        <f>(L45*$C$8/12+L46*(12-$C$8)/12)*$C$4*$C$5*$C$7</f>
        <v>29832981.6909024</v>
      </c>
      <c r="L48" s="144"/>
      <c r="M48" s="102"/>
      <c r="N48" s="213">
        <f>(O45*$C$8/12+O46*(12-$C$8)/12)*$C$4*$C$5*$C$7</f>
        <v>29832981.6909024</v>
      </c>
      <c r="O48" s="144"/>
      <c r="P48" s="102"/>
      <c r="Q48" s="213">
        <f>(R45*$C$8/12+R46*(12-$C$8)/12)*$C$4*$C$5*$C$7</f>
        <v>26019011.3537701</v>
      </c>
      <c r="R48" s="144"/>
      <c r="S48" s="239"/>
    </row>
    <row r="49" ht="15.2" collapsed="1" spans="1:19">
      <c r="A49" s="48"/>
      <c r="B49" s="94" t="s">
        <v>84</v>
      </c>
      <c r="C49" s="41"/>
      <c r="D49" s="41"/>
      <c r="E49" s="214"/>
      <c r="F49" s="215"/>
      <c r="G49" s="215"/>
      <c r="H49" s="240">
        <v>1000000</v>
      </c>
      <c r="I49" s="41"/>
      <c r="J49" s="42"/>
      <c r="K49" s="281">
        <v>730000</v>
      </c>
      <c r="L49" s="41"/>
      <c r="M49" s="42"/>
      <c r="N49" s="240">
        <v>1000000</v>
      </c>
      <c r="O49" s="41"/>
      <c r="P49" s="42"/>
      <c r="Q49" s="240">
        <v>2756000</v>
      </c>
      <c r="R49" s="41"/>
      <c r="S49" s="164"/>
    </row>
    <row r="50" ht="15.2" hidden="1" outlineLevel="1" spans="1:19">
      <c r="A50" s="48"/>
      <c r="B50" s="131" t="s">
        <v>85</v>
      </c>
      <c r="C50" s="41"/>
      <c r="D50" s="41"/>
      <c r="E50" s="216"/>
      <c r="F50" s="217"/>
      <c r="G50" s="217"/>
      <c r="H50" s="218"/>
      <c r="I50" s="41"/>
      <c r="J50" s="164"/>
      <c r="K50" s="218"/>
      <c r="L50" s="41"/>
      <c r="M50" s="42"/>
      <c r="N50" s="218"/>
      <c r="O50" s="41"/>
      <c r="P50" s="42"/>
      <c r="Q50" s="218"/>
      <c r="R50" s="41"/>
      <c r="S50" s="164"/>
    </row>
    <row r="51" ht="15.2" hidden="1" outlineLevel="1" spans="1:19">
      <c r="A51" s="48"/>
      <c r="B51" s="131" t="s">
        <v>86</v>
      </c>
      <c r="C51" s="41"/>
      <c r="D51" s="41"/>
      <c r="E51" s="216"/>
      <c r="F51" s="217"/>
      <c r="G51" s="217"/>
      <c r="H51" s="218"/>
      <c r="I51" s="41"/>
      <c r="J51" s="164"/>
      <c r="K51" s="218"/>
      <c r="L51" s="41"/>
      <c r="M51" s="42"/>
      <c r="N51" s="218"/>
      <c r="O51" s="41"/>
      <c r="P51" s="42"/>
      <c r="Q51" s="218"/>
      <c r="R51" s="41"/>
      <c r="S51" s="164"/>
    </row>
    <row r="52" ht="15.2" hidden="1" outlineLevel="1" spans="1:19">
      <c r="A52" s="48"/>
      <c r="B52" s="131" t="s">
        <v>87</v>
      </c>
      <c r="C52" s="41"/>
      <c r="D52" s="41"/>
      <c r="E52" s="216"/>
      <c r="F52" s="217"/>
      <c r="G52" s="217"/>
      <c r="H52" s="218"/>
      <c r="I52" s="41"/>
      <c r="J52" s="164"/>
      <c r="K52" s="218"/>
      <c r="L52" s="41"/>
      <c r="M52" s="42"/>
      <c r="N52" s="218"/>
      <c r="O52" s="41"/>
      <c r="P52" s="42"/>
      <c r="Q52" s="218"/>
      <c r="R52" s="41"/>
      <c r="S52" s="164"/>
    </row>
    <row r="53" ht="15.2" hidden="1" outlineLevel="1" spans="1:19">
      <c r="A53" s="48"/>
      <c r="B53" s="131" t="s">
        <v>88</v>
      </c>
      <c r="C53" s="41"/>
      <c r="D53" s="41"/>
      <c r="E53" s="216"/>
      <c r="F53" s="217"/>
      <c r="G53" s="217"/>
      <c r="H53" s="218"/>
      <c r="I53" s="41"/>
      <c r="J53" s="164"/>
      <c r="K53" s="218"/>
      <c r="L53" s="41"/>
      <c r="M53" s="42"/>
      <c r="N53" s="218"/>
      <c r="O53" s="41"/>
      <c r="P53" s="42"/>
      <c r="Q53" s="218"/>
      <c r="R53" s="41"/>
      <c r="S53" s="164"/>
    </row>
    <row r="54" ht="15.95" spans="1:19">
      <c r="A54" s="145"/>
      <c r="B54" s="146" t="s">
        <v>89</v>
      </c>
      <c r="C54" s="122"/>
      <c r="D54" s="122"/>
      <c r="E54" s="219"/>
      <c r="F54" s="220"/>
      <c r="G54" s="220"/>
      <c r="H54" s="230">
        <f>IF(H59&gt;H49,H49/H59,IF((H59+H60)&gt;H49,1+(H49-H59)/H60,IF((H59+H60+H61)&gt;H49,2+(H49-H59-H60)/H61,IF((H59+H60+H61+H62)&gt;H49,3+(H49-H59-H60-H61)/H62,"&gt;4 years"))))</f>
        <v>0.35700880925687</v>
      </c>
      <c r="I54" s="122"/>
      <c r="J54" s="123"/>
      <c r="K54" s="230">
        <f>IF(K59&gt;K49,K49/K59,IF((K59+K60)&gt;K49,1+(K49-K59)/K60,IF((K59+K60+K61)&gt;K49,2+(K49-K59-K60)/K61,IF((K59+K60+K61+K62)&gt;K49,3+(K49-K59-K60-K61)/K62,"&gt;4 years"))))</f>
        <v>0.139213757864897</v>
      </c>
      <c r="L54" s="122"/>
      <c r="M54" s="123"/>
      <c r="N54" s="230">
        <f>IF(N59&gt;N49,N49/N59,IF((N59+N60)&gt;N49,1+(N49-N59)/N60,IF((N59+N60+N61)&gt;N49,2+(N49-N59-N60)/N61,IF((N59+N60+N61+N62)&gt;N49,3+(N49-N59-N60-N61)/N62,"&gt;4 years"))))</f>
        <v>0.195965886866737</v>
      </c>
      <c r="O54" s="122"/>
      <c r="P54" s="123"/>
      <c r="Q54" s="230">
        <f>IF(Q59&gt;Q49,Q49/Q59,IF((Q59+Q60)&gt;Q49,1+(Q49-Q59)/Q60,IF((Q59+Q60+Q61)&gt;Q49,2+(Q49-Q59-Q60)/Q61,IF((Q59+Q60+Q61+Q62)&gt;Q49,3+(Q49-Q59-Q60-Q61)/Q62,"&gt;4 years"))))</f>
        <v>0.411459139452947</v>
      </c>
      <c r="R54" s="122"/>
      <c r="S54" s="168"/>
    </row>
    <row r="55" ht="15.95" outlineLevel="1" spans="1:19">
      <c r="A55" s="147" t="s">
        <v>90</v>
      </c>
      <c r="B55" s="148" t="s">
        <v>91</v>
      </c>
      <c r="C55" s="149" t="s">
        <v>92</v>
      </c>
      <c r="D55" s="150"/>
      <c r="E55" s="221">
        <f>E56/(1+$C$10)+E47</f>
        <v>19104308.8867865</v>
      </c>
      <c r="F55" s="117"/>
      <c r="G55" s="161"/>
      <c r="H55" s="221">
        <f>H56/(1+$C$10)+H47</f>
        <v>16303257.5567603</v>
      </c>
      <c r="I55" s="117"/>
      <c r="J55" s="161"/>
      <c r="K55" s="221">
        <f>K56/(1+$C$10)+K47</f>
        <v>13860574.2789724</v>
      </c>
      <c r="L55" s="117"/>
      <c r="M55" s="161"/>
      <c r="N55" s="221">
        <f>N56/(1+$C$10)+N47</f>
        <v>14001379.9230325</v>
      </c>
      <c r="O55" s="117"/>
      <c r="P55" s="161"/>
      <c r="Q55" s="221">
        <f>Q56/(1+$C$10)+Q47</f>
        <v>12406195.4272964</v>
      </c>
      <c r="R55" s="117"/>
      <c r="S55" s="161"/>
    </row>
    <row r="56" ht="15.2" outlineLevel="1" spans="2:19">
      <c r="B56" s="99"/>
      <c r="C56" s="151" t="s">
        <v>93</v>
      </c>
      <c r="D56" s="152"/>
      <c r="E56" s="222">
        <f>E57/(1+$C$10)+E47</f>
        <v>24835601.5528224</v>
      </c>
      <c r="F56" s="41"/>
      <c r="G56" s="164"/>
      <c r="H56" s="222">
        <f>H57/(1+$C$10)+H47</f>
        <v>21114154.8237884</v>
      </c>
      <c r="I56" s="41"/>
      <c r="J56" s="164"/>
      <c r="K56" s="222">
        <f>K57/(1+$C$10)+K47</f>
        <v>17888746.5626642</v>
      </c>
      <c r="L56" s="41"/>
      <c r="M56" s="164"/>
      <c r="N56" s="222">
        <f>N57/(1+$C$10)+N47</f>
        <v>18006793.8999423</v>
      </c>
      <c r="O56" s="41"/>
      <c r="P56" s="164"/>
      <c r="Q56" s="222">
        <f>Q57/(1+$C$10)+Q47</f>
        <v>15868054.0554853</v>
      </c>
      <c r="R56" s="41"/>
      <c r="S56" s="164"/>
    </row>
    <row r="57" ht="15.2" outlineLevel="1" spans="2:19">
      <c r="B57" s="99"/>
      <c r="C57" s="151" t="s">
        <v>94</v>
      </c>
      <c r="D57" s="152"/>
      <c r="E57" s="222">
        <f>E58/(1+$C$10)+E47</f>
        <v>32286282.0186691</v>
      </c>
      <c r="F57" s="41"/>
      <c r="G57" s="164"/>
      <c r="H57" s="222">
        <f>H58/(1+$C$10)+H47</f>
        <v>27368321.2709249</v>
      </c>
      <c r="I57" s="41"/>
      <c r="J57" s="164"/>
      <c r="K57" s="222">
        <f>K58/(1+$C$10)+K47</f>
        <v>23125370.5314634</v>
      </c>
      <c r="L57" s="41"/>
      <c r="M57" s="164"/>
      <c r="N57" s="222">
        <f>N58/(1+$C$10)+N47</f>
        <v>23213832.0699249</v>
      </c>
      <c r="O57" s="41"/>
      <c r="P57" s="164"/>
      <c r="Q57" s="222">
        <f>Q58/(1+$C$10)+Q47</f>
        <v>20368470.2721308</v>
      </c>
      <c r="R57" s="41"/>
      <c r="S57" s="164"/>
    </row>
    <row r="58" ht="15.2" outlineLevel="1" spans="2:19">
      <c r="B58" s="101"/>
      <c r="C58" s="151" t="s">
        <v>95</v>
      </c>
      <c r="D58" s="152"/>
      <c r="E58" s="222">
        <f>E48+E47</f>
        <v>41972166.6242698</v>
      </c>
      <c r="F58" s="41"/>
      <c r="G58" s="164"/>
      <c r="H58" s="222">
        <f>H48+H47</f>
        <v>35498737.6522024</v>
      </c>
      <c r="I58" s="41"/>
      <c r="J58" s="164"/>
      <c r="K58" s="222">
        <f>K48+K47</f>
        <v>29932981.6909024</v>
      </c>
      <c r="L58" s="41"/>
      <c r="M58" s="164"/>
      <c r="N58" s="222">
        <f>N48+N47</f>
        <v>29982981.6909024</v>
      </c>
      <c r="O58" s="41"/>
      <c r="P58" s="164"/>
      <c r="Q58" s="222">
        <f>Q48+Q47</f>
        <v>26219011.3537701</v>
      </c>
      <c r="R58" s="41"/>
      <c r="S58" s="164"/>
    </row>
    <row r="59" ht="15.2" outlineLevel="1" spans="2:19">
      <c r="B59" s="153" t="s">
        <v>96</v>
      </c>
      <c r="C59" s="151" t="s">
        <v>97</v>
      </c>
      <c r="D59" s="152"/>
      <c r="E59" s="223"/>
      <c r="F59" s="152"/>
      <c r="G59" s="152"/>
      <c r="H59" s="222">
        <f t="shared" ref="H59:H62" si="49">$E55-H55</f>
        <v>2801051.33002613</v>
      </c>
      <c r="I59" s="41"/>
      <c r="J59" s="164"/>
      <c r="K59" s="222">
        <f t="shared" ref="K59:K62" si="50">$E55-K55</f>
        <v>5243734.60781402</v>
      </c>
      <c r="L59" s="41"/>
      <c r="M59" s="164"/>
      <c r="N59" s="222">
        <f t="shared" ref="N59:N62" si="51">$E55-N55</f>
        <v>5102928.96375394</v>
      </c>
      <c r="O59" s="41"/>
      <c r="P59" s="164"/>
      <c r="Q59" s="222">
        <f t="shared" ref="Q59:Q62" si="52">$E55-Q55</f>
        <v>6698113.4594901</v>
      </c>
      <c r="R59" s="41"/>
      <c r="S59" s="164"/>
    </row>
    <row r="60" ht="15.2" outlineLevel="1" spans="2:19">
      <c r="B60" s="99"/>
      <c r="C60" s="151" t="s">
        <v>98</v>
      </c>
      <c r="D60" s="152"/>
      <c r="E60" s="223"/>
      <c r="F60" s="152"/>
      <c r="G60" s="152"/>
      <c r="H60" s="222">
        <f t="shared" si="49"/>
        <v>3721446.72903397</v>
      </c>
      <c r="I60" s="41"/>
      <c r="J60" s="164"/>
      <c r="K60" s="222">
        <f t="shared" si="50"/>
        <v>6946854.99015823</v>
      </c>
      <c r="L60" s="41"/>
      <c r="M60" s="164"/>
      <c r="N60" s="222">
        <f t="shared" si="51"/>
        <v>6828807.65288012</v>
      </c>
      <c r="O60" s="41"/>
      <c r="P60" s="164"/>
      <c r="Q60" s="222">
        <f t="shared" si="52"/>
        <v>8967547.49733713</v>
      </c>
      <c r="R60" s="41"/>
      <c r="S60" s="164"/>
    </row>
    <row r="61" ht="15.2" outlineLevel="1" spans="2:19">
      <c r="B61" s="99"/>
      <c r="C61" s="151" t="s">
        <v>99</v>
      </c>
      <c r="D61" s="152"/>
      <c r="E61" s="223"/>
      <c r="F61" s="152"/>
      <c r="G61" s="152"/>
      <c r="H61" s="222">
        <f t="shared" si="49"/>
        <v>4917960.74774416</v>
      </c>
      <c r="I61" s="41"/>
      <c r="J61" s="164"/>
      <c r="K61" s="222">
        <f t="shared" si="50"/>
        <v>9160911.4872057</v>
      </c>
      <c r="L61" s="41"/>
      <c r="M61" s="164"/>
      <c r="N61" s="222">
        <f t="shared" si="51"/>
        <v>9072449.94874416</v>
      </c>
      <c r="O61" s="41"/>
      <c r="P61" s="164"/>
      <c r="Q61" s="222">
        <f t="shared" si="52"/>
        <v>11917811.7465383</v>
      </c>
      <c r="R61" s="41"/>
      <c r="S61" s="164"/>
    </row>
    <row r="62" ht="15.95" outlineLevel="1" spans="1:19">
      <c r="A62" s="154"/>
      <c r="B62" s="155"/>
      <c r="C62" s="156" t="s">
        <v>100</v>
      </c>
      <c r="D62" s="157"/>
      <c r="E62" s="224"/>
      <c r="F62" s="157"/>
      <c r="G62" s="157"/>
      <c r="H62" s="225">
        <f t="shared" si="49"/>
        <v>6473428.97206741</v>
      </c>
      <c r="I62" s="122"/>
      <c r="J62" s="168"/>
      <c r="K62" s="225">
        <f t="shared" si="50"/>
        <v>12039184.9333674</v>
      </c>
      <c r="L62" s="122"/>
      <c r="M62" s="168"/>
      <c r="N62" s="225">
        <f t="shared" si="51"/>
        <v>11989184.9333674</v>
      </c>
      <c r="O62" s="122"/>
      <c r="P62" s="168"/>
      <c r="Q62" s="225">
        <f t="shared" si="52"/>
        <v>15753155.2704997</v>
      </c>
      <c r="R62" s="122"/>
      <c r="S62" s="168"/>
    </row>
    <row r="63" ht="15.95" spans="1:29">
      <c r="A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ht="15.2" spans="3:29">
      <c r="C64" s="37"/>
      <c r="D64" s="158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ht="15.2" spans="1:29">
      <c r="A65" s="59"/>
      <c r="B65" s="59"/>
      <c r="C65" s="59"/>
      <c r="D65" s="38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ht="15.2" spans="1:29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105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ht="15.2" spans="1:29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ht="15.2" spans="1:29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ht="15.2" spans="1:29">
      <c r="A69" s="59"/>
      <c r="B69" s="282"/>
      <c r="C69" s="258"/>
      <c r="D69" s="258"/>
      <c r="E69" s="258"/>
      <c r="F69" s="258"/>
      <c r="G69" s="258"/>
      <c r="H69" s="258"/>
      <c r="I69" s="258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ht="15.2" spans="1:29">
      <c r="A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  <row r="71" ht="15.2" spans="1:29">
      <c r="A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</row>
    <row r="72" ht="15.2" spans="1:29">
      <c r="A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</row>
    <row r="73" ht="15.2" spans="1:29">
      <c r="A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</row>
    <row r="74" ht="15.2" spans="1:29">
      <c r="A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</row>
    <row r="75" ht="15.2" spans="1:29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</row>
    <row r="76" ht="15.2" spans="1:29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ht="15.2" spans="1:29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</row>
    <row r="78" ht="15.2" spans="1:29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</row>
    <row r="79" ht="15.2" spans="1:2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</row>
    <row r="80" ht="15.2" spans="1:29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ht="15.2" spans="1:29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ht="15.2" spans="1:29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</row>
    <row r="83" ht="15.2" spans="1:29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</row>
    <row r="84" ht="15.2" spans="1:29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</row>
    <row r="85" ht="15.2" spans="1:29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</row>
    <row r="86" ht="15.2" spans="1:29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</row>
    <row r="87" ht="15.2" spans="1:29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</row>
    <row r="88" ht="15.2" spans="1:29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</row>
    <row r="89" ht="15.2" spans="1:2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</row>
    <row r="90" ht="15.2" spans="1:29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</row>
    <row r="91" ht="15.2" spans="1:29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ht="15.2" spans="1:29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</row>
    <row r="93" ht="15.2" spans="1:29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</row>
    <row r="94" ht="15.2" spans="1:29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</row>
    <row r="95" ht="15.2" spans="1:29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</row>
    <row r="96" ht="15.2" spans="1:29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</row>
    <row r="97" ht="15.2" spans="1:29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ht="15.2" spans="1:29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</row>
    <row r="99" ht="15.2" spans="1:2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</row>
    <row r="100" ht="15.2" spans="1:29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</row>
    <row r="101" ht="15.2" spans="1:29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</row>
    <row r="102" ht="15.2" spans="1:29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ht="15.2" spans="1:29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ht="15.2" spans="1:29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</row>
    <row r="105" ht="15.2" spans="1:29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</row>
    <row r="106" ht="15.2" spans="1:29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</row>
    <row r="107" ht="15.2" spans="1:29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</row>
    <row r="108" ht="15.2" spans="1:29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</row>
    <row r="109" ht="15.2" spans="1:2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ht="15.2" spans="1:29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</row>
    <row r="111" ht="15.2" spans="1:29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</row>
    <row r="112" ht="15.2" spans="1:29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</row>
    <row r="113" ht="15.2" spans="1:29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</row>
    <row r="114" ht="15.2" spans="1:29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</row>
    <row r="115" ht="15.2" spans="1:29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ht="15.2" spans="1:29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</row>
    <row r="117" ht="15.2" spans="1:29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</row>
    <row r="118" ht="15.2" spans="1:29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</row>
    <row r="119" ht="15.2" spans="1:2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</row>
    <row r="120" ht="15.2" spans="1:29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</row>
    <row r="121" ht="15.2" spans="1:29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ht="15.2" spans="1:29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</row>
    <row r="123" ht="15.2" spans="1:29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ht="15.2" spans="1:29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ht="15.2" spans="1:29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ht="15.2" spans="1:29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</row>
    <row r="127" ht="15.2" spans="1:29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</row>
    <row r="128" ht="15.2" spans="1:29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</row>
    <row r="129" ht="15.2" spans="1: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</row>
    <row r="130" ht="15.2" spans="1:29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</row>
    <row r="131" ht="15.2" spans="1:29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</row>
    <row r="132" ht="15.2" spans="1:29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</row>
    <row r="133" ht="15.2" spans="1:29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</row>
    <row r="134" ht="15.2" spans="1:29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</row>
    <row r="135" ht="15.2" spans="1:29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</row>
    <row r="136" ht="15.2" spans="1:29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</row>
    <row r="137" ht="15.2" spans="1:29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</row>
    <row r="138" ht="15.2" spans="1:29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</row>
    <row r="139" ht="15.2" spans="1:2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</row>
    <row r="140" ht="15.2" spans="1:29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</row>
    <row r="141" ht="15.2" spans="1:29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</row>
    <row r="142" ht="15.2" spans="1:29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</row>
    <row r="143" ht="15.2" spans="1:29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</row>
    <row r="144" ht="15.2" spans="1:29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</row>
    <row r="145" ht="15.2" spans="1:29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</row>
    <row r="146" ht="15.2" spans="1:29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</row>
    <row r="147" ht="15.2" spans="1:29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</row>
    <row r="148" ht="15.2" spans="1:29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</row>
    <row r="149" ht="15.2" spans="1:2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</row>
    <row r="150" ht="15.2" spans="1:29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</row>
    <row r="151" ht="15.2" spans="1:29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</row>
    <row r="152" ht="15.2" spans="1:29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</row>
    <row r="153" ht="15.2" spans="1:29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</row>
    <row r="154" ht="15.2" spans="1:29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</row>
    <row r="155" ht="15.2" spans="1:29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</row>
    <row r="156" ht="15.2" spans="1:29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</row>
    <row r="157" ht="15.2" spans="1:29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</row>
    <row r="158" ht="15.2" spans="1:29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</row>
    <row r="159" ht="15.2" spans="1:2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</row>
    <row r="160" ht="15.2" spans="1:29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</row>
    <row r="161" ht="15.2" spans="1:29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</row>
    <row r="162" ht="15.2" spans="1:29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</row>
    <row r="163" ht="15.2" spans="1:29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</row>
    <row r="164" ht="15.2" spans="1:29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</row>
    <row r="165" ht="15.2" spans="1:29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</row>
    <row r="166" ht="15.2" spans="1:29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</row>
    <row r="167" ht="15.2" spans="1:29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</row>
    <row r="168" ht="15.2" spans="1:29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</row>
    <row r="169" ht="15.2" spans="1:2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</row>
    <row r="170" ht="15.2" spans="1:29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</row>
    <row r="171" ht="15.2" spans="1:29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</row>
    <row r="172" ht="15.2" spans="1:29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</row>
    <row r="173" ht="15.2" spans="1:29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</row>
    <row r="174" ht="15.2" spans="1:29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</row>
    <row r="175" ht="15.2" spans="1:29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</row>
    <row r="176" ht="15.2" spans="1:29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</row>
    <row r="177" ht="15.2" spans="1:29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</row>
    <row r="178" ht="15.2" spans="1:29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</row>
    <row r="179" ht="15.2" spans="1:2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</row>
    <row r="180" ht="15.2" spans="1:29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ht="15.2" spans="1:29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</row>
    <row r="182" ht="15.2" spans="1:29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</row>
    <row r="183" ht="15.2" spans="1:29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</row>
    <row r="184" ht="15.2" spans="1:29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</row>
    <row r="185" ht="15.2" spans="1:29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</row>
    <row r="186" ht="15.2" spans="1:29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</row>
    <row r="187" ht="15.2" spans="1:29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</row>
    <row r="188" ht="15.2" spans="1:29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</row>
    <row r="189" ht="15.2" spans="1:2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</row>
    <row r="190" ht="15.2" spans="1:29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</row>
    <row r="191" ht="15.2" spans="1:29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</row>
    <row r="192" ht="15.2" spans="1:29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</row>
    <row r="193" ht="15.2" spans="1:29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</row>
    <row r="194" ht="15.2" spans="1:29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</row>
    <row r="195" ht="15.2" spans="1:29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</row>
    <row r="196" ht="15.2" spans="1:29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</row>
    <row r="197" ht="15.2" spans="1:29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</row>
    <row r="198" ht="15.2" spans="1:29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</row>
    <row r="199" ht="15.2" spans="1:2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</row>
    <row r="200" ht="15.2" spans="1:29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</row>
    <row r="201" ht="15.2" spans="1:29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</row>
    <row r="202" ht="15.2" spans="1:29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</row>
    <row r="203" ht="15.2" spans="1:29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</row>
    <row r="204" ht="15.2" spans="1:29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</row>
    <row r="205" ht="15.2" spans="1:29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</row>
    <row r="206" ht="15.2" spans="1:29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</row>
    <row r="207" ht="15.2" spans="1:29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</row>
    <row r="208" ht="15.2" spans="1:29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</row>
    <row r="209" ht="15.2" spans="1:2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</row>
    <row r="210" ht="15.2" spans="1:29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</row>
    <row r="211" ht="15.2" spans="1:29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</row>
    <row r="212" ht="15.2" spans="1:29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</row>
    <row r="213" ht="15.2" spans="1:29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</row>
    <row r="214" ht="15.2" spans="1:29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</row>
    <row r="215" ht="15.2" spans="1:29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</row>
    <row r="216" ht="15.2" spans="1:29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</row>
    <row r="217" ht="15.2" spans="1:29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</row>
    <row r="218" ht="15.2" spans="1:29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</row>
    <row r="219" ht="15.2" spans="1:2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</row>
    <row r="220" ht="15.2" spans="1:29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</row>
    <row r="221" ht="15.2" spans="1:29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</row>
    <row r="222" ht="15.2" spans="1:29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</row>
    <row r="223" ht="15.2" spans="1:29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</row>
    <row r="224" ht="15.2" spans="1:29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</row>
    <row r="225" ht="15.2" spans="1:29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</row>
    <row r="226" ht="15.2" spans="1:29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</row>
    <row r="227" ht="15.2" spans="1:29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</row>
    <row r="228" ht="15.2" spans="1:29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</row>
    <row r="229" ht="15.2" spans="1: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</row>
    <row r="230" ht="15.2" spans="1:29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</row>
    <row r="231" ht="15.2" spans="1:29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</row>
    <row r="232" ht="15.2" spans="1:29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</row>
    <row r="233" ht="15.2" spans="1:29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</row>
    <row r="234" ht="15.2" spans="1:29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</row>
    <row r="235" ht="15.2" spans="1:29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</row>
    <row r="236" ht="15.2" spans="1:29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</row>
    <row r="237" ht="15.2" spans="1:29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</row>
    <row r="238" ht="15.2" spans="1:29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</row>
    <row r="239" ht="15.2" spans="1:2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</row>
    <row r="240" ht="15.2" spans="1:29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</row>
    <row r="241" ht="15.2" spans="1:29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</row>
    <row r="242" ht="15.2" spans="1:29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</row>
    <row r="243" ht="15.2" spans="1:29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</row>
    <row r="244" ht="15.2" spans="1:29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</row>
    <row r="245" ht="15.2" spans="1:29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</row>
    <row r="246" ht="15.2" spans="1:29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</row>
    <row r="247" ht="15.2" spans="1:29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</row>
    <row r="248" ht="15.2" spans="1:29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</row>
    <row r="249" ht="15.2" spans="1:2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</row>
    <row r="250" ht="15.2" spans="1:29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</row>
    <row r="251" ht="15.2" spans="1:29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</row>
    <row r="252" ht="15.2" spans="1:29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</row>
    <row r="253" ht="15.2" spans="1:29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</row>
    <row r="254" ht="15.2" spans="1:29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</row>
    <row r="255" ht="15.2" spans="1:29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</row>
    <row r="256" ht="15.2" spans="1:29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</row>
    <row r="257" ht="15.2" spans="1:29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</row>
    <row r="258" ht="15.2" spans="1:29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</row>
    <row r="259" ht="15.2" spans="1:2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</row>
    <row r="260" ht="15.2" spans="1:29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</row>
    <row r="261" ht="15.2" spans="1:29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</row>
    <row r="262" ht="15.2" spans="1:29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</row>
    <row r="263" ht="15.2" spans="1:29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</row>
    <row r="264" ht="15.2" spans="1:29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</row>
    <row r="265" ht="15.2" spans="1:29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</row>
    <row r="266" ht="15.2" spans="1:29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</row>
    <row r="267" ht="15.2" spans="1:29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</row>
    <row r="268" ht="15.2" spans="1:29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</row>
    <row r="269" ht="15.2" spans="1:2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</row>
    <row r="270" ht="15.2" spans="1:29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</row>
    <row r="271" ht="15.2" spans="1:29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</row>
    <row r="272" ht="15.2" spans="1:29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</row>
    <row r="273" ht="15.2" spans="1:29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</row>
    <row r="274" ht="15.2" spans="1:29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</row>
    <row r="275" ht="15.2" spans="1:29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</row>
    <row r="276" ht="15.2" spans="1:29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</row>
    <row r="277" ht="15.2" spans="1:29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</row>
    <row r="278" ht="15.2" spans="1:29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</row>
    <row r="279" ht="15.2" spans="1:2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</row>
    <row r="280" ht="15.2" spans="1:29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</row>
    <row r="281" ht="15.2" spans="1:29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</row>
    <row r="282" ht="15.2" spans="1:29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</row>
    <row r="283" ht="15.2" spans="1:29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</row>
    <row r="284" ht="15.2" spans="1:29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</row>
    <row r="285" ht="15.2" spans="1:29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</row>
    <row r="286" ht="15.2" spans="1:29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</row>
    <row r="287" ht="15.2" spans="1:29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</row>
    <row r="288" ht="15.2" spans="1:29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</row>
    <row r="289" ht="15.2" spans="1:2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</row>
    <row r="290" ht="15.2" spans="1:29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</row>
    <row r="291" ht="15.2" spans="1:29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</row>
    <row r="292" ht="15.2" spans="1:29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</row>
    <row r="293" ht="15.2" spans="1:29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</row>
    <row r="294" ht="15.2" spans="1:29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</row>
    <row r="295" ht="15.2" spans="1:29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</row>
    <row r="296" ht="15.2" spans="1:29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</row>
    <row r="297" ht="15.2" spans="1:29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</row>
    <row r="298" ht="15.2" spans="1:29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</row>
    <row r="299" ht="15.2" spans="1:2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</row>
    <row r="300" ht="15.2" spans="1:29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</row>
    <row r="301" ht="15.2" spans="1:29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</row>
    <row r="302" ht="15.2" spans="1:29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</row>
    <row r="303" ht="15.2" spans="1:29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</row>
    <row r="304" ht="15.2" spans="1:29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</row>
    <row r="305" ht="15.2" spans="1:29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</row>
    <row r="306" ht="15.2" spans="1:29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</row>
    <row r="307" ht="15.2" spans="1:29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</row>
    <row r="308" ht="15.2" spans="1:29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</row>
    <row r="309" ht="15.2" spans="1:2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</row>
    <row r="310" ht="15.2" spans="1:29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</row>
    <row r="311" ht="15.2" spans="1:29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</row>
    <row r="312" ht="15.2" spans="1:29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</row>
    <row r="313" ht="15.2" spans="1:29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</row>
    <row r="314" ht="15.2" spans="1:29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</row>
    <row r="315" ht="15.2" spans="1:29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</row>
    <row r="316" ht="15.2" spans="1:29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</row>
    <row r="317" ht="15.2" spans="1:29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</row>
    <row r="318" ht="15.2" spans="1:29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</row>
    <row r="319" ht="15.2" spans="1:2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</row>
    <row r="320" ht="15.2" spans="1:29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</row>
    <row r="321" ht="15.2" spans="1:29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</row>
    <row r="322" ht="15.2" spans="1:29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</row>
    <row r="323" ht="15.2" spans="1:29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</row>
    <row r="324" ht="15.2" spans="1:29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</row>
    <row r="325" ht="15.2" spans="1:29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</row>
    <row r="326" ht="15.2" spans="1:29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</row>
    <row r="327" ht="15.2" spans="1:29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</row>
    <row r="328" ht="15.2" spans="1:29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</row>
    <row r="329" ht="15.2" spans="1: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</row>
    <row r="330" ht="15.2" spans="1:29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</row>
    <row r="331" ht="15.2" spans="1:29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</row>
    <row r="332" ht="15.2" spans="1:29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</row>
    <row r="333" ht="15.2" spans="1:29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</row>
    <row r="334" ht="15.2" spans="1:29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</row>
    <row r="335" ht="15.2" spans="1:29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</row>
    <row r="336" ht="15.2" spans="1:29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</row>
    <row r="337" ht="15.2" spans="1:29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</row>
    <row r="338" ht="15.2" spans="1:29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</row>
    <row r="339" ht="15.2" spans="1:2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</row>
    <row r="340" ht="15.2" spans="1:29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</row>
    <row r="341" ht="15.2" spans="1:29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</row>
    <row r="342" ht="15.2" spans="1:29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</row>
    <row r="343" ht="15.2" spans="1:29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</row>
    <row r="344" ht="15.2" spans="1:29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</row>
    <row r="345" ht="15.2" spans="1:29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</row>
    <row r="346" ht="15.2" spans="1:29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</row>
    <row r="347" ht="15.2" spans="1:29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</row>
    <row r="348" ht="15.2" spans="1:29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</row>
    <row r="349" ht="15.2" spans="1:2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</row>
    <row r="350" ht="15.2" spans="1:29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</row>
    <row r="351" ht="15.2" spans="1:29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</row>
    <row r="352" ht="15.2" spans="1:29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</row>
    <row r="353" ht="15.2" spans="1:29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</row>
    <row r="354" ht="15.2" spans="1:29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</row>
    <row r="355" ht="15.2" spans="1:29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</row>
    <row r="356" ht="15.2" spans="1:29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</row>
    <row r="357" ht="15.2" spans="1:29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</row>
    <row r="358" ht="15.2" spans="1:29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</row>
    <row r="359" ht="15.2" spans="1:2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</row>
    <row r="360" ht="15.2" spans="1:29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</row>
    <row r="361" ht="15.2" spans="1:29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</row>
    <row r="362" ht="15.2" spans="1:29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</row>
    <row r="363" ht="15.2" spans="1:29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</row>
    <row r="364" ht="15.2" spans="1:29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</row>
    <row r="365" ht="15.2" spans="1:29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</row>
    <row r="366" ht="15.2" spans="1:29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</row>
    <row r="367" ht="15.2" spans="1:29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</row>
    <row r="368" ht="15.2" spans="1:29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</row>
    <row r="369" ht="15.2" spans="1:2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</row>
    <row r="370" ht="15.2" spans="1:29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</row>
    <row r="371" ht="15.2" spans="1:29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</row>
    <row r="372" ht="15.2" spans="1:29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</row>
    <row r="373" ht="15.2" spans="1:29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</row>
    <row r="374" ht="15.2" spans="1:29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</row>
    <row r="375" ht="15.2" spans="1:29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</row>
    <row r="376" ht="15.2" spans="1:29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</row>
    <row r="377" ht="15.2" spans="1:29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</row>
    <row r="378" ht="15.2" spans="1:29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</row>
    <row r="379" ht="15.2" spans="1:2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</row>
    <row r="380" ht="15.2" spans="1:29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</row>
    <row r="381" ht="15.2" spans="1:29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</row>
    <row r="382" ht="15.2" spans="1:29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</row>
    <row r="383" ht="15.2" spans="1:29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</row>
    <row r="384" ht="15.2" spans="1:29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</row>
    <row r="385" ht="15.2" spans="1:29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</row>
    <row r="386" ht="15.2" spans="1:29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</row>
    <row r="387" ht="15.2" spans="1:29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</row>
    <row r="388" ht="15.2" spans="1:29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</row>
    <row r="389" ht="15.2" spans="1:2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</row>
    <row r="390" ht="15.2" spans="1:29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</row>
    <row r="391" ht="15.2" spans="1:29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</row>
    <row r="392" ht="15.2" spans="1:29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</row>
    <row r="393" ht="15.2" spans="1:29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</row>
    <row r="394" ht="15.2" spans="1:29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</row>
    <row r="395" ht="15.2" spans="1:29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</row>
    <row r="396" ht="15.2" spans="1:29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</row>
    <row r="397" ht="15.2" spans="1:29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</row>
    <row r="398" ht="15.2" spans="1:29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</row>
    <row r="399" ht="15.2" spans="1:2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</row>
    <row r="400" ht="15.2" spans="1:29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</row>
    <row r="401" ht="15.2" spans="1:29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</row>
    <row r="402" ht="15.2" spans="1:29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</row>
    <row r="403" ht="15.2" spans="1:29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</row>
    <row r="404" ht="15.2" spans="1:29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</row>
    <row r="405" ht="15.2" spans="1:29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</row>
    <row r="406" ht="15.2" spans="1:29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</row>
    <row r="407" ht="15.2" spans="1:29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</row>
    <row r="408" ht="15.2" spans="1:29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</row>
    <row r="409" ht="15.2" spans="1:2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</row>
    <row r="410" ht="15.2" spans="1:29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</row>
    <row r="411" ht="15.2" spans="1:29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</row>
    <row r="412" ht="15.2" spans="1:29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</row>
    <row r="413" ht="15.2" spans="1:29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</row>
    <row r="414" ht="15.2" spans="1:29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</row>
    <row r="415" ht="15.2" spans="1:29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</row>
    <row r="416" ht="15.2" spans="1:29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</row>
    <row r="417" ht="15.2" spans="1:29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</row>
    <row r="418" ht="15.2" spans="1:29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</row>
    <row r="419" ht="15.2" spans="1:2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</row>
    <row r="420" ht="15.2" spans="1:29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</row>
    <row r="421" ht="15.2" spans="1:29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</row>
    <row r="422" ht="15.2" spans="1:29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</row>
    <row r="423" ht="15.2" spans="1:29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</row>
    <row r="424" ht="15.2" spans="1:29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</row>
    <row r="425" ht="15.2" spans="1:29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</row>
    <row r="426" ht="15.2" spans="1:29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</row>
    <row r="427" ht="15.2" spans="1:29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</row>
    <row r="428" ht="15.2" spans="1:29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</row>
    <row r="429" ht="15.2" spans="1: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</row>
    <row r="430" ht="15.2" spans="1:29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</row>
    <row r="431" ht="15.2" spans="1:29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</row>
    <row r="432" ht="15.2" spans="1:29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</row>
    <row r="433" ht="15.2" spans="1:29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</row>
    <row r="434" ht="15.2" spans="1:29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</row>
    <row r="435" ht="15.2" spans="1:29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</row>
    <row r="436" ht="15.2" spans="1:29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</row>
    <row r="437" ht="15.2" spans="1:29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</row>
    <row r="438" ht="15.2" spans="1:29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</row>
    <row r="439" ht="15.2" spans="1:2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</row>
    <row r="440" ht="15.2" spans="1:29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</row>
    <row r="441" ht="15.2" spans="1:29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</row>
    <row r="442" ht="15.2" spans="1:29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</row>
    <row r="443" ht="15.2" spans="1:29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</row>
    <row r="444" ht="15.2" spans="1:29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</row>
    <row r="445" ht="15.2" spans="1:29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</row>
    <row r="446" ht="15.2" spans="1:29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</row>
    <row r="447" ht="15.2" spans="1:29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</row>
    <row r="448" ht="15.2" spans="1:29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</row>
    <row r="449" ht="15.2" spans="1:2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</row>
    <row r="450" ht="15.2" spans="1:29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</row>
    <row r="451" ht="15.2" spans="1:29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</row>
    <row r="452" ht="15.2" spans="1:29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</row>
    <row r="453" ht="15.2" spans="1:29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</row>
    <row r="454" ht="15.2" spans="1:29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</row>
    <row r="455" ht="15.2" spans="1:29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</row>
    <row r="456" ht="15.2" spans="1:29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</row>
    <row r="457" ht="15.2" spans="1:29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</row>
    <row r="458" ht="15.2" spans="1:29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</row>
    <row r="459" ht="15.2" spans="1:2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</row>
    <row r="460" ht="15.2" spans="1:29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</row>
    <row r="461" ht="15.2" spans="1:29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</row>
    <row r="462" ht="15.2" spans="1:29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</row>
    <row r="463" ht="15.2" spans="1:29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</row>
    <row r="464" ht="15.2" spans="1:29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</row>
    <row r="465" ht="15.2" spans="1:29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</row>
    <row r="466" ht="15.2" spans="1:29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</row>
    <row r="467" ht="15.2" spans="1:29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</row>
    <row r="468" ht="15.2" spans="1:29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</row>
    <row r="469" ht="15.2" spans="1:2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</row>
    <row r="470" ht="15.2" spans="1:29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</row>
    <row r="471" ht="15.2" spans="1:29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</row>
    <row r="472" ht="15.2" spans="1:29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</row>
    <row r="473" ht="15.2" spans="1:29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</row>
    <row r="474" ht="15.2" spans="1:29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</row>
    <row r="475" ht="15.2" spans="1:29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</row>
    <row r="476" ht="15.2" spans="1:29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</row>
    <row r="477" ht="15.2" spans="1:29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</row>
    <row r="478" ht="15.2" spans="1:29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</row>
    <row r="479" ht="15.2" spans="1:2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</row>
    <row r="480" ht="15.2" spans="1:29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</row>
    <row r="481" ht="15.2" spans="1:29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</row>
    <row r="482" ht="15.2" spans="1:29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</row>
    <row r="483" ht="15.2" spans="1:29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</row>
    <row r="484" ht="15.2" spans="1:29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</row>
    <row r="485" ht="15.2" spans="1:29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</row>
    <row r="486" ht="15.2" spans="1:29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</row>
    <row r="487" ht="15.2" spans="1:29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</row>
    <row r="488" ht="15.2" spans="1:29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</row>
    <row r="489" ht="15.2" spans="1:2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</row>
    <row r="490" ht="15.2" spans="1:29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</row>
    <row r="491" ht="15.2" spans="1:29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</row>
    <row r="492" ht="15.2" spans="1:29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</row>
    <row r="493" ht="15.2" spans="1:29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</row>
    <row r="494" ht="15.2" spans="1:29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</row>
    <row r="495" ht="15.2" spans="1:29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</row>
    <row r="496" ht="15.2" spans="1:29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</row>
    <row r="497" ht="15.2" spans="1:29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</row>
    <row r="498" ht="15.2" spans="1:29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</row>
    <row r="499" ht="15.2" spans="1:2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</row>
    <row r="500" ht="15.2" spans="1:29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</row>
    <row r="501" ht="15.2" spans="1:29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</row>
    <row r="502" ht="15.2" spans="1:29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</row>
    <row r="503" ht="15.2" spans="1:29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</row>
    <row r="504" ht="15.2" spans="1:29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</row>
    <row r="505" ht="15.2" spans="1:29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</row>
    <row r="506" ht="15.2" spans="1:29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</row>
    <row r="507" ht="15.2" spans="1:29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</row>
    <row r="508" ht="15.2" spans="1:29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</row>
    <row r="509" ht="15.2" spans="1:2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</row>
    <row r="510" ht="15.2" spans="1:29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</row>
    <row r="511" ht="15.2" spans="1:29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</row>
    <row r="512" ht="15.2" spans="1:29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</row>
    <row r="513" ht="15.2" spans="1:29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</row>
    <row r="514" ht="15.2" spans="1:29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</row>
    <row r="515" ht="15.2" spans="1:29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</row>
    <row r="516" ht="15.2" spans="1:29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</row>
    <row r="517" ht="15.2" spans="1:29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</row>
    <row r="518" ht="15.2" spans="1:29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</row>
    <row r="519" ht="15.2" spans="1:2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</row>
    <row r="520" ht="15.2" spans="1:29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</row>
    <row r="521" ht="15.2" spans="1:29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</row>
    <row r="522" ht="15.2" spans="1:29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</row>
    <row r="523" ht="15.2" spans="1:29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</row>
    <row r="524" ht="15.2" spans="1:29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</row>
    <row r="525" ht="15.2" spans="1:29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</row>
    <row r="526" ht="15.2" spans="1:29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</row>
    <row r="527" ht="15.2" spans="1:29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</row>
    <row r="528" ht="15.2" spans="1:29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</row>
    <row r="529" ht="15.2" spans="1: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</row>
    <row r="530" ht="15.2" spans="1:29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</row>
    <row r="531" ht="15.2" spans="1:29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</row>
    <row r="532" ht="15.2" spans="1:29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</row>
    <row r="533" ht="15.2" spans="1:29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</row>
    <row r="534" ht="15.2" spans="1:29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</row>
    <row r="535" ht="15.2" spans="1:29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</row>
    <row r="536" ht="15.2" spans="1:29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</row>
    <row r="537" ht="15.2" spans="1:29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</row>
    <row r="538" ht="15.2" spans="1:29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</row>
    <row r="539" ht="15.2" spans="1:2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</row>
    <row r="540" ht="15.2" spans="1:29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</row>
    <row r="541" ht="15.2" spans="1:29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</row>
    <row r="542" ht="15.2" spans="1:29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</row>
    <row r="543" ht="15.2" spans="1:29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</row>
    <row r="544" ht="15.2" spans="1:29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</row>
    <row r="545" ht="15.2" spans="1:29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</row>
    <row r="546" ht="15.2" spans="1:29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</row>
    <row r="547" ht="15.2" spans="1:29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</row>
    <row r="548" ht="15.2" spans="1:29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</row>
    <row r="549" ht="15.2" spans="1:2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</row>
    <row r="550" ht="15.2" spans="1:29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</row>
    <row r="551" ht="15.2" spans="1:29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</row>
    <row r="552" ht="15.2" spans="1:29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</row>
    <row r="553" ht="15.2" spans="1:29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</row>
    <row r="554" ht="15.2" spans="1:29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</row>
    <row r="555" ht="15.2" spans="1:29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</row>
    <row r="556" ht="15.2" spans="1:29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</row>
    <row r="557" ht="15.2" spans="1:29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</row>
    <row r="558" ht="15.2" spans="1:29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</row>
    <row r="559" ht="15.2" spans="1:2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</row>
    <row r="560" ht="15.2" spans="1:29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</row>
    <row r="561" ht="15.2" spans="1:29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</row>
    <row r="562" ht="15.2" spans="1:29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</row>
    <row r="563" ht="15.2" spans="1:29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</row>
    <row r="564" ht="15.2" spans="1:29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</row>
    <row r="565" ht="15.2" spans="1:29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</row>
    <row r="566" ht="15.2" spans="1:29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</row>
    <row r="567" ht="15.2" spans="1:29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</row>
    <row r="568" ht="15.2" spans="1:29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</row>
    <row r="569" ht="15.2" spans="1:2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</row>
    <row r="570" ht="15.2" spans="1:29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</row>
    <row r="571" ht="15.2" spans="1:29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</row>
    <row r="572" ht="15.2" spans="1:29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</row>
    <row r="573" ht="15.2" spans="1:29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</row>
    <row r="574" ht="15.2" spans="1:29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</row>
    <row r="575" ht="15.2" spans="1:29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</row>
    <row r="576" ht="15.2" spans="1:29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</row>
    <row r="577" ht="15.2" spans="1:29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</row>
    <row r="578" ht="15.2" spans="1:29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</row>
    <row r="579" ht="15.2" spans="1:2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</row>
    <row r="580" ht="15.2" spans="1:29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</row>
    <row r="581" ht="15.2" spans="1:29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</row>
    <row r="582" ht="15.2" spans="1:29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</row>
    <row r="583" ht="15.2" spans="1:29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</row>
    <row r="584" ht="15.2" spans="1:29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</row>
    <row r="585" ht="15.2" spans="1:29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</row>
    <row r="586" ht="15.2" spans="1:29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</row>
    <row r="587" ht="15.2" spans="1:29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</row>
    <row r="588" ht="15.2" spans="1:29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</row>
    <row r="589" ht="15.2" spans="1:2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</row>
    <row r="590" ht="15.2" spans="1:29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</row>
    <row r="591" ht="15.2" spans="1:29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</row>
    <row r="592" ht="15.2" spans="1:29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</row>
    <row r="593" ht="15.2" spans="1:29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</row>
    <row r="594" ht="15.2" spans="1:29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</row>
    <row r="595" ht="15.2" spans="1:29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</row>
    <row r="596" ht="15.2" spans="1:29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</row>
    <row r="597" ht="15.2" spans="1:29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</row>
    <row r="598" ht="15.2" spans="1:29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</row>
    <row r="599" ht="15.2" spans="1:2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</row>
    <row r="600" ht="15.2" spans="1:29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</row>
    <row r="601" ht="15.2" spans="1:29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</row>
    <row r="602" ht="15.2" spans="1:29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</row>
    <row r="603" ht="15.2" spans="1:29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</row>
    <row r="604" ht="15.2" spans="1:29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</row>
    <row r="605" ht="15.2" spans="1:29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</row>
    <row r="606" ht="15.2" spans="1:29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</row>
    <row r="607" ht="15.2" spans="1:29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</row>
    <row r="608" ht="15.2" spans="1:29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</row>
    <row r="609" ht="15.2" spans="1:2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</row>
    <row r="610" ht="15.2" spans="1:29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</row>
    <row r="611" ht="15.2" spans="1:29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</row>
    <row r="612" ht="15.2" spans="1:29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</row>
    <row r="613" ht="15.2" spans="1:29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</row>
    <row r="614" ht="15.2" spans="1:29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</row>
    <row r="615" ht="15.2" spans="1:29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</row>
    <row r="616" ht="15.2" spans="1:29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</row>
    <row r="617" ht="15.2" spans="1:29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</row>
    <row r="618" ht="15.2" spans="1:29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</row>
    <row r="619" ht="15.2" spans="1:2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</row>
    <row r="620" ht="15.2" spans="1:29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</row>
    <row r="621" ht="15.2" spans="1:29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</row>
    <row r="622" ht="15.2" spans="1:29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</row>
    <row r="623" ht="15.2" spans="1:29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</row>
    <row r="624" ht="15.2" spans="1:29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</row>
    <row r="625" ht="15.2" spans="1:29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</row>
    <row r="626" ht="15.2" spans="1:29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</row>
    <row r="627" ht="15.2" spans="1:29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</row>
    <row r="628" ht="15.2" spans="1:29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</row>
    <row r="629" ht="15.2" spans="1: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</row>
    <row r="630" ht="15.2" spans="1:29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</row>
    <row r="631" ht="15.2" spans="1:29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</row>
    <row r="632" ht="15.2" spans="1:29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</row>
    <row r="633" ht="15.2" spans="1:29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</row>
    <row r="634" ht="15.2" spans="1:29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</row>
    <row r="635" ht="15.2" spans="1:29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</row>
    <row r="636" ht="15.2" spans="1:29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</row>
    <row r="637" ht="15.2" spans="1:29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</row>
    <row r="638" ht="15.2" spans="1:29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</row>
    <row r="639" ht="15.2" spans="1:2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</row>
    <row r="640" ht="15.2" spans="1:29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</row>
    <row r="641" ht="15.2" spans="1:29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</row>
    <row r="642" ht="15.2" spans="1:29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</row>
    <row r="643" ht="15.2" spans="1:29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</row>
    <row r="644" ht="15.2" spans="1:29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</row>
    <row r="645" ht="15.2" spans="1:29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</row>
    <row r="646" ht="15.2" spans="1:29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</row>
    <row r="647" ht="15.2" spans="1:29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</row>
    <row r="648" ht="15.2" spans="1:29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</row>
    <row r="649" ht="15.2" spans="1:2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</row>
    <row r="650" ht="15.2" spans="1:29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</row>
    <row r="651" ht="15.2" spans="1:29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</row>
    <row r="652" ht="15.2" spans="1:29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</row>
    <row r="653" ht="15.2" spans="1:29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</row>
    <row r="654" ht="15.2" spans="1:29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</row>
    <row r="655" ht="15.2" spans="1:29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</row>
    <row r="656" ht="15.2" spans="1:29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</row>
    <row r="657" ht="15.2" spans="1:29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</row>
    <row r="658" ht="15.2" spans="1:29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</row>
    <row r="659" ht="15.2" spans="1:2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</row>
    <row r="660" ht="15.2" spans="1:29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</row>
    <row r="661" ht="15.2" spans="1:29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</row>
    <row r="662" ht="15.2" spans="1:29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</row>
    <row r="663" ht="15.2" spans="1:29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</row>
    <row r="664" ht="15.2" spans="1:29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</row>
    <row r="665" ht="15.2" spans="1:29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</row>
    <row r="666" ht="15.2" spans="1:29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</row>
    <row r="667" ht="15.2" spans="1:29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</row>
    <row r="668" ht="15.2" spans="1:29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</row>
    <row r="669" ht="15.2" spans="1:2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</row>
    <row r="670" ht="15.2" spans="1:29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</row>
    <row r="671" ht="15.2" spans="1:29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</row>
    <row r="672" ht="15.2" spans="1:29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</row>
    <row r="673" ht="15.2" spans="1:29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</row>
    <row r="674" ht="15.2" spans="1:29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</row>
    <row r="675" ht="15.2" spans="1:29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</row>
    <row r="676" ht="15.2" spans="1:29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</row>
    <row r="677" ht="15.2" spans="1:29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</row>
    <row r="678" ht="15.2" spans="1:29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</row>
    <row r="679" ht="15.2" spans="1:2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</row>
    <row r="680" ht="15.2" spans="1:29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</row>
    <row r="681" ht="15.2" spans="1:29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</row>
    <row r="682" ht="15.2" spans="1:29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</row>
    <row r="683" ht="15.2" spans="1:29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</row>
    <row r="684" ht="15.2" spans="1:29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</row>
    <row r="685" ht="15.2" spans="1:29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</row>
    <row r="686" ht="15.2" spans="1:29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</row>
    <row r="687" ht="15.2" spans="1:29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</row>
    <row r="688" ht="15.2" spans="1:29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</row>
    <row r="689" ht="15.2" spans="1:2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</row>
    <row r="690" ht="15.2" spans="1:29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</row>
    <row r="691" ht="15.2" spans="1:29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</row>
    <row r="692" ht="15.2" spans="1:29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</row>
    <row r="693" ht="15.2" spans="1:29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</row>
    <row r="694" ht="15.2" spans="1:29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</row>
    <row r="695" ht="15.2" spans="1:29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</row>
    <row r="696" ht="15.2" spans="1:29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</row>
    <row r="697" ht="15.2" spans="1:29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</row>
    <row r="698" ht="15.2" spans="1:29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</row>
    <row r="699" ht="15.2" spans="1:2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</row>
    <row r="700" ht="15.2" spans="1:29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</row>
    <row r="701" ht="15.2" spans="1:29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</row>
    <row r="702" ht="15.2" spans="1:29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</row>
    <row r="703" ht="15.2" spans="1:29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</row>
    <row r="704" ht="15.2" spans="1:29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</row>
    <row r="705" ht="15.2" spans="1:29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</row>
    <row r="706" ht="15.2" spans="1:29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</row>
    <row r="707" ht="15.2" spans="1:29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</row>
    <row r="708" ht="15.2" spans="1:29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</row>
    <row r="709" ht="15.2" spans="1:2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</row>
    <row r="710" ht="15.2" spans="1:29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</row>
    <row r="711" ht="15.2" spans="1:29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</row>
    <row r="712" ht="15.2" spans="1:29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</row>
    <row r="713" ht="15.2" spans="1:29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</row>
    <row r="714" ht="15.2" spans="1:29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</row>
    <row r="715" ht="15.2" spans="1:29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</row>
    <row r="716" ht="15.2" spans="1:29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</row>
    <row r="717" ht="15.2" spans="1:29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</row>
    <row r="718" ht="15.2" spans="1:29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</row>
    <row r="719" ht="15.2" spans="1:2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</row>
    <row r="720" ht="15.2" spans="1:29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</row>
    <row r="721" ht="15.2" spans="1:29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</row>
    <row r="722" ht="15.2" spans="1:29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</row>
    <row r="723" ht="15.2" spans="1:29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</row>
    <row r="724" ht="15.2" spans="1:29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</row>
    <row r="725" ht="15.2" spans="1:29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</row>
    <row r="726" ht="15.2" spans="1:29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</row>
    <row r="727" ht="15.2" spans="1:29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</row>
    <row r="728" ht="15.2" spans="1:29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</row>
    <row r="729" ht="15.2" spans="1: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</row>
    <row r="730" ht="15.2" spans="1:29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</row>
    <row r="731" ht="15.2" spans="1:29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</row>
    <row r="732" ht="15.2" spans="1:29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</row>
    <row r="733" ht="15.2" spans="1:29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</row>
    <row r="734" ht="15.2" spans="1:29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</row>
    <row r="735" ht="15.2" spans="1:29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</row>
    <row r="736" ht="15.2" spans="1:29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</row>
    <row r="737" ht="15.2" spans="1:29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</row>
    <row r="738" ht="15.2" spans="1:29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</row>
    <row r="739" ht="15.2" spans="1:2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</row>
    <row r="740" ht="15.2" spans="1:29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</row>
    <row r="741" ht="15.2" spans="1:29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</row>
    <row r="742" ht="15.2" spans="1:29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</row>
    <row r="743" ht="15.2" spans="1:29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</row>
    <row r="744" ht="15.2" spans="1:29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</row>
    <row r="745" ht="15.2" spans="1:29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</row>
    <row r="746" ht="15.2" spans="1:29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</row>
    <row r="747" ht="15.2" spans="1:29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</row>
    <row r="748" ht="15.2" spans="1:29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</row>
    <row r="749" ht="15.2" spans="1:2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</row>
    <row r="750" ht="15.2" spans="1:29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</row>
    <row r="751" ht="15.2" spans="1:29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</row>
    <row r="752" ht="15.2" spans="1:29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</row>
    <row r="753" ht="15.2" spans="1:29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</row>
    <row r="754" ht="15.2" spans="1:29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</row>
    <row r="755" ht="15.2" spans="1:29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</row>
    <row r="756" ht="15.2" spans="1:29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</row>
    <row r="757" ht="15.2" spans="1:29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</row>
    <row r="758" ht="15.2" spans="1:29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</row>
    <row r="759" ht="15.2" spans="1:2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</row>
    <row r="760" ht="15.2" spans="1:29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</row>
    <row r="761" ht="15.2" spans="1:29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</row>
    <row r="762" ht="15.2" spans="1:29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</row>
    <row r="763" ht="15.2" spans="1:29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</row>
    <row r="764" ht="15.2" spans="1:29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</row>
    <row r="765" ht="15.2" spans="1:29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</row>
    <row r="766" ht="15.2" spans="1:29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</row>
    <row r="767" ht="15.2" spans="1:29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</row>
    <row r="768" ht="15.2" spans="1:29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</row>
    <row r="769" ht="15.2" spans="1:2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</row>
    <row r="770" ht="15.2" spans="1:29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</row>
    <row r="771" ht="15.2" spans="1:29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</row>
    <row r="772" ht="15.2" spans="1:29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</row>
    <row r="773" ht="15.2" spans="1:29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</row>
    <row r="774" ht="15.2" spans="1:29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</row>
    <row r="775" ht="15.2" spans="1:29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</row>
    <row r="776" ht="15.2" spans="1:29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</row>
    <row r="777" ht="15.2" spans="1:29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</row>
    <row r="778" ht="15.2" spans="1:29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</row>
    <row r="779" ht="15.2" spans="1:2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</row>
    <row r="780" ht="15.2" spans="1:29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</row>
    <row r="781" ht="15.2" spans="1:29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</row>
    <row r="782" ht="15.2" spans="1:29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</row>
    <row r="783" ht="15.2" spans="1:29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</row>
    <row r="784" ht="15.2" spans="1:29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</row>
    <row r="785" ht="15.2" spans="1:29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</row>
    <row r="786" ht="15.2" spans="1:29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</row>
    <row r="787" ht="15.2" spans="1:29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</row>
    <row r="788" ht="15.2" spans="1:29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</row>
    <row r="789" ht="15.2" spans="1:2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</row>
    <row r="790" ht="15.2" spans="1:29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</row>
    <row r="791" ht="15.2" spans="1:29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</row>
    <row r="792" ht="15.2" spans="1:29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</row>
    <row r="793" ht="15.2" spans="1:29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</row>
    <row r="794" ht="15.2" spans="1:29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</row>
    <row r="795" ht="15.2" spans="1:29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</row>
    <row r="796" ht="15.2" spans="1:29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</row>
    <row r="797" ht="15.2" spans="1:29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</row>
    <row r="798" ht="15.2" spans="1:29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</row>
    <row r="799" ht="15.2" spans="1:2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</row>
    <row r="800" ht="15.2" spans="1:29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</row>
    <row r="801" ht="15.2" spans="1:29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</row>
    <row r="802" ht="15.2" spans="1:29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</row>
    <row r="803" ht="15.2" spans="1:29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</row>
    <row r="804" ht="15.2" spans="1:29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</row>
    <row r="805" ht="15.2" spans="1:29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</row>
    <row r="806" ht="15.2" spans="1:29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</row>
    <row r="807" ht="15.2" spans="1:29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</row>
    <row r="808" ht="15.2" spans="1:29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</row>
    <row r="809" ht="15.2" spans="1:2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</row>
    <row r="810" ht="15.2" spans="1:29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</row>
    <row r="811" ht="15.2" spans="1:29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</row>
    <row r="812" ht="15.2" spans="1:29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</row>
    <row r="813" ht="15.2" spans="1:29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</row>
    <row r="814" ht="15.2" spans="1:29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</row>
    <row r="815" ht="15.2" spans="1:29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</row>
    <row r="816" ht="15.2" spans="1:29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</row>
    <row r="817" ht="15.2" spans="1:29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</row>
    <row r="818" ht="15.2" spans="1:29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</row>
    <row r="819" ht="15.2" spans="1:2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</row>
    <row r="820" ht="15.2" spans="1:29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</row>
    <row r="821" ht="15.2" spans="1:29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</row>
    <row r="822" ht="15.2" spans="1:29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</row>
    <row r="823" ht="15.2" spans="1:29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</row>
    <row r="824" ht="15.2" spans="1:29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</row>
    <row r="825" ht="15.2" spans="1:29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</row>
    <row r="826" ht="15.2" spans="1:29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</row>
    <row r="827" ht="15.2" spans="1:29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</row>
    <row r="828" ht="15.2" spans="1:29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</row>
    <row r="829" ht="15.2" spans="1: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</row>
    <row r="830" ht="15.2" spans="1:29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</row>
    <row r="831" ht="15.2" spans="1:29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</row>
    <row r="832" ht="15.2" spans="1:29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</row>
    <row r="833" ht="15.2" spans="1:29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</row>
    <row r="834" ht="15.2" spans="1:29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</row>
    <row r="835" ht="15.2" spans="1:29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</row>
    <row r="836" ht="15.2" spans="1:29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</row>
    <row r="837" ht="15.2" spans="1:29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</row>
    <row r="838" ht="15.2" spans="1:29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</row>
    <row r="839" ht="15.2" spans="1:2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</row>
    <row r="840" ht="15.2" spans="1:29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</row>
    <row r="841" ht="15.2" spans="1:29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</row>
    <row r="842" ht="15.2" spans="1:29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</row>
    <row r="843" ht="15.2" spans="1:29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</row>
    <row r="844" ht="15.2" spans="1:29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</row>
    <row r="845" ht="15.2" spans="1:29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</row>
    <row r="846" ht="15.2" spans="1:29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</row>
    <row r="847" ht="15.2" spans="1:29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</row>
    <row r="848" ht="15.2" spans="1:29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</row>
    <row r="849" ht="15.2" spans="1:2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</row>
    <row r="850" ht="15.2" spans="1:29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</row>
    <row r="851" ht="15.2" spans="1:29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</row>
    <row r="852" ht="15.2" spans="1:29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</row>
    <row r="853" ht="15.2" spans="1:29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</row>
    <row r="854" ht="15.2" spans="1:29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</row>
    <row r="855" ht="15.2" spans="1:29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</row>
    <row r="856" ht="15.2" spans="1:29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</row>
    <row r="857" ht="15.2" spans="1:29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</row>
    <row r="858" ht="15.2" spans="1:29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</row>
    <row r="859" ht="15.2" spans="1:2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</row>
    <row r="860" ht="15.2" spans="1:29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</row>
    <row r="861" ht="15.2" spans="1:29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</row>
    <row r="862" ht="15.2" spans="1:29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</row>
    <row r="863" ht="15.2" spans="1:29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</row>
    <row r="864" ht="15.2" spans="1:29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</row>
    <row r="865" ht="15.2" spans="1:29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</row>
    <row r="866" ht="15.2" spans="1:29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</row>
    <row r="867" ht="15.2" spans="1:29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</row>
    <row r="868" ht="15.2" spans="1:29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</row>
    <row r="869" ht="15.2" spans="1:2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</row>
    <row r="870" ht="15.2" spans="1:29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</row>
    <row r="871" ht="15.2" spans="1:29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</row>
    <row r="872" ht="15.2" spans="1:29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</row>
    <row r="873" ht="15.2" spans="1:29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</row>
    <row r="874" ht="15.2" spans="1:29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</row>
    <row r="875" ht="15.2" spans="1:29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</row>
    <row r="876" ht="15.2" spans="1:29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</row>
    <row r="877" ht="15.2" spans="1:29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</row>
    <row r="878" ht="15.2" spans="1:29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</row>
    <row r="879" ht="15.2" spans="1:2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</row>
    <row r="880" ht="15.2" spans="1:29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</row>
    <row r="881" ht="15.2" spans="1:29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</row>
    <row r="882" ht="15.2" spans="1:29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</row>
    <row r="883" ht="15.2" spans="1:29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</row>
    <row r="884" ht="15.2" spans="1:29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</row>
    <row r="885" ht="15.2" spans="1:29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</row>
    <row r="886" ht="15.2" spans="1:29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</row>
    <row r="887" ht="15.2" spans="1:29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</row>
    <row r="888" ht="15.2" spans="1:29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</row>
    <row r="889" ht="15.2" spans="1:2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</row>
    <row r="890" ht="15.2" spans="1:29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</row>
    <row r="891" ht="15.2" spans="1:29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</row>
    <row r="892" ht="15.2" spans="1:29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</row>
    <row r="893" ht="15.2" spans="1:29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</row>
    <row r="894" ht="15.2" spans="1:29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</row>
    <row r="895" ht="15.2" spans="1:29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</row>
    <row r="896" ht="15.2" spans="1:29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</row>
    <row r="897" ht="15.2" spans="1:29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</row>
    <row r="898" ht="15.2" spans="1:29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</row>
    <row r="899" ht="15.2" spans="1:2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</row>
    <row r="900" ht="15.2" spans="1:29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</row>
    <row r="901" ht="15.2" spans="1:29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</row>
    <row r="902" ht="15.2" spans="1:29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</row>
    <row r="903" ht="15.2" spans="1:29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</row>
    <row r="904" ht="15.2" spans="1:29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</row>
    <row r="905" ht="15.2" spans="1:29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</row>
    <row r="906" ht="15.2" spans="1:29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</row>
    <row r="907" ht="15.2" spans="1:29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</row>
    <row r="908" ht="15.2" spans="1:29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</row>
    <row r="909" ht="15.2" spans="1:2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</row>
    <row r="910" ht="15.2" spans="1:29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</row>
    <row r="911" ht="15.2" spans="1:29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</row>
    <row r="912" ht="15.2" spans="1:29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</row>
    <row r="913" ht="15.2" spans="1:29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</row>
    <row r="914" ht="15.2" spans="1:29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</row>
    <row r="915" ht="15.2" spans="1:29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</row>
    <row r="916" ht="15.2" spans="1:29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</row>
    <row r="917" ht="15.2" spans="1:29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</row>
    <row r="918" ht="15.2" spans="1:29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</row>
    <row r="919" ht="15.2" spans="1:2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</row>
    <row r="920" ht="15.2" spans="1:29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</row>
    <row r="921" ht="15.2" spans="1:29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</row>
    <row r="922" ht="15.2" spans="1:29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</row>
    <row r="923" ht="15.2" spans="1:29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</row>
    <row r="924" ht="15.2" spans="1:29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</row>
    <row r="925" ht="15.2" spans="1:29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</row>
    <row r="926" ht="15.2" spans="1:29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</row>
    <row r="927" ht="15.2" spans="1:29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</row>
    <row r="928" ht="15.2" spans="1:29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</row>
    <row r="929" ht="15.2" spans="1: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</row>
    <row r="930" ht="15.2" spans="1:29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</row>
    <row r="931" ht="15.2" spans="1:29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</row>
    <row r="932" ht="15.2" spans="1:29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</row>
    <row r="933" ht="15.2" spans="1:29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</row>
    <row r="934" ht="15.2" spans="1:29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</row>
    <row r="935" ht="15.2" spans="1:29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</row>
    <row r="936" ht="15.2" spans="1:29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</row>
    <row r="937" ht="15.2" spans="1:29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</row>
    <row r="938" ht="15.2" spans="1:29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</row>
    <row r="939" ht="15.2" spans="1:2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</row>
    <row r="940" ht="15.2" spans="1:29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</row>
    <row r="941" ht="15.2" spans="1:29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</row>
    <row r="942" ht="15.2" spans="1:29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</row>
    <row r="943" ht="15.2" spans="1:29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</row>
    <row r="944" ht="15.2" spans="1:29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</row>
    <row r="945" ht="15.2" spans="1:29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</row>
    <row r="946" ht="15.2" spans="1:29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</row>
    <row r="947" ht="15.2" spans="1:29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</row>
    <row r="948" ht="15.2" spans="1:29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</row>
    <row r="949" ht="15.2" spans="1:2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</row>
    <row r="950" ht="15.2" spans="1:29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</row>
    <row r="951" ht="15.2" spans="1:29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</row>
    <row r="952" ht="15.2" spans="1:29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</row>
    <row r="953" ht="15.2" spans="1:29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</row>
    <row r="954" ht="15.2" spans="1:29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</row>
    <row r="955" ht="15.2" spans="1:29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</row>
    <row r="956" ht="15.2" spans="1:29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</row>
    <row r="957" ht="15.2" spans="1:29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</row>
    <row r="958" ht="15.2" spans="1:29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</row>
    <row r="959" ht="15.2" spans="1:2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</row>
    <row r="960" ht="15.2" spans="1:29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</row>
    <row r="961" ht="15.2" spans="1:29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</row>
    <row r="962" ht="15.2" spans="1:29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</row>
    <row r="963" ht="15.2" spans="1:29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</row>
    <row r="964" ht="15.2" spans="1:29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</row>
    <row r="965" ht="15.2" spans="1:29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</row>
    <row r="966" ht="15.2" spans="1:29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</row>
    <row r="967" ht="15.2" spans="1:29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</row>
    <row r="968" ht="15.2" spans="1:29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</row>
    <row r="969" ht="15.2" spans="1:2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</row>
    <row r="970" ht="15.2" spans="1:29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</row>
    <row r="971" ht="15.2" spans="1:29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</row>
    <row r="972" ht="15.2" spans="1:29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</row>
    <row r="973" ht="15.2" spans="1:29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</row>
    <row r="974" ht="15.2" spans="1:29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</row>
    <row r="975" ht="15.2" spans="1:29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</row>
    <row r="976" ht="15.2" spans="1:29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</row>
    <row r="977" ht="15.2" spans="1:29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</row>
    <row r="978" ht="15.2" spans="1:29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</row>
    <row r="979" ht="15.2" spans="1:2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</row>
    <row r="980" ht="15.2" spans="1:29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</row>
    <row r="981" ht="15.2" spans="1:29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</row>
    <row r="982" ht="15.2" spans="1:29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</row>
    <row r="983" ht="15.2" spans="1:29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</row>
    <row r="984" ht="15.2" spans="1:29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</row>
    <row r="985" ht="15.2" spans="1:29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</row>
    <row r="986" ht="15.2" spans="1:29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</row>
    <row r="987" ht="15.2" spans="1:29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</row>
    <row r="988" ht="15.2" spans="1:29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</row>
    <row r="989" ht="15.2" spans="1:2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</row>
    <row r="990" ht="15.2" spans="1:29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</row>
    <row r="991" ht="15.2" spans="1:29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</row>
    <row r="992" ht="15.2" spans="1:29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</row>
    <row r="993" ht="15.2" spans="1:29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</row>
    <row r="994" ht="15.2" spans="1:29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</row>
    <row r="995" ht="15.2" spans="1:29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</row>
    <row r="996" ht="15.2" spans="1:29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</row>
    <row r="997" ht="15.2" spans="1:29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</row>
    <row r="998" ht="15.2" spans="1:29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</row>
    <row r="999" ht="15.2" spans="1:2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</row>
    <row r="1000" ht="15.2" spans="1:29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</row>
    <row r="1001" ht="15.2" spans="1:29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</row>
    <row r="1002" ht="15.2" spans="1:29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</row>
    <row r="1003" ht="15.2" spans="1:29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</row>
    <row r="1004" ht="15.2" spans="1:29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</row>
    <row r="1005" ht="15.2" spans="1:29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</row>
    <row r="1006" ht="15.2" spans="1:29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</row>
    <row r="1007" ht="15.2" spans="1:29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</row>
    <row r="1008" ht="15.2" spans="1:29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</row>
    <row r="1009" ht="15.2" spans="1:2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</row>
    <row r="1010" ht="15.2" spans="1:29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</row>
    <row r="1011" ht="15.2" spans="1:29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</row>
  </sheetData>
  <mergeCells count="158">
    <mergeCell ref="A3:C3"/>
    <mergeCell ref="E3:J3"/>
    <mergeCell ref="L3:Q3"/>
    <mergeCell ref="A4:B4"/>
    <mergeCell ref="E4:F4"/>
    <mergeCell ref="L4:M4"/>
    <mergeCell ref="A5:B5"/>
    <mergeCell ref="E5:F5"/>
    <mergeCell ref="L5:M5"/>
    <mergeCell ref="A6:B6"/>
    <mergeCell ref="E6:F6"/>
    <mergeCell ref="L6:M6"/>
    <mergeCell ref="A7:B7"/>
    <mergeCell ref="E7:F7"/>
    <mergeCell ref="L7:M7"/>
    <mergeCell ref="A8:B8"/>
    <mergeCell ref="E8:F8"/>
    <mergeCell ref="L8:M8"/>
    <mergeCell ref="A9:B9"/>
    <mergeCell ref="E9:F9"/>
    <mergeCell ref="L9:M9"/>
    <mergeCell ref="A10:B10"/>
    <mergeCell ref="E10:F10"/>
    <mergeCell ref="L10:M10"/>
    <mergeCell ref="E11:F11"/>
    <mergeCell ref="L11:M11"/>
    <mergeCell ref="E12:F12"/>
    <mergeCell ref="L12:M12"/>
    <mergeCell ref="E13:F13"/>
    <mergeCell ref="L13:M13"/>
    <mergeCell ref="E15:G15"/>
    <mergeCell ref="H15:J15"/>
    <mergeCell ref="K15:M15"/>
    <mergeCell ref="N15:P15"/>
    <mergeCell ref="Q15:S15"/>
    <mergeCell ref="B16:D16"/>
    <mergeCell ref="E16:G16"/>
    <mergeCell ref="H16:J16"/>
    <mergeCell ref="K16:M16"/>
    <mergeCell ref="N16:P16"/>
    <mergeCell ref="Q16:S16"/>
    <mergeCell ref="B17:D17"/>
    <mergeCell ref="E17:G17"/>
    <mergeCell ref="H17:J17"/>
    <mergeCell ref="K17:M17"/>
    <mergeCell ref="N17:P17"/>
    <mergeCell ref="Q17:S17"/>
    <mergeCell ref="B18:D18"/>
    <mergeCell ref="E18:G18"/>
    <mergeCell ref="H18:J18"/>
    <mergeCell ref="K18:M18"/>
    <mergeCell ref="N18:P18"/>
    <mergeCell ref="Q18:S18"/>
    <mergeCell ref="B19:D19"/>
    <mergeCell ref="E19:G19"/>
    <mergeCell ref="H19:J19"/>
    <mergeCell ref="K19:M19"/>
    <mergeCell ref="N19:P19"/>
    <mergeCell ref="Q19:S19"/>
    <mergeCell ref="B20:D20"/>
    <mergeCell ref="E20:G20"/>
    <mergeCell ref="H20:J20"/>
    <mergeCell ref="K20:M20"/>
    <mergeCell ref="N20:P20"/>
    <mergeCell ref="Q20:S20"/>
    <mergeCell ref="B40:C40"/>
    <mergeCell ref="B41:C41"/>
    <mergeCell ref="B42:C42"/>
    <mergeCell ref="B43:C43"/>
    <mergeCell ref="B44:C44"/>
    <mergeCell ref="B45:C45"/>
    <mergeCell ref="B46:C46"/>
    <mergeCell ref="B47:D47"/>
    <mergeCell ref="E47:G47"/>
    <mergeCell ref="H47:J47"/>
    <mergeCell ref="K47:M47"/>
    <mergeCell ref="N47:P47"/>
    <mergeCell ref="Q47:S47"/>
    <mergeCell ref="B48:D48"/>
    <mergeCell ref="E48:G48"/>
    <mergeCell ref="H48:J48"/>
    <mergeCell ref="K48:M48"/>
    <mergeCell ref="N48:P48"/>
    <mergeCell ref="Q48:S48"/>
    <mergeCell ref="B49:D49"/>
    <mergeCell ref="H49:J49"/>
    <mergeCell ref="K49:M49"/>
    <mergeCell ref="N49:P49"/>
    <mergeCell ref="Q49:S49"/>
    <mergeCell ref="B50:D50"/>
    <mergeCell ref="H50:J50"/>
    <mergeCell ref="K50:M50"/>
    <mergeCell ref="N50:P50"/>
    <mergeCell ref="Q50:S50"/>
    <mergeCell ref="B51:D51"/>
    <mergeCell ref="H51:J51"/>
    <mergeCell ref="K51:M51"/>
    <mergeCell ref="N51:P51"/>
    <mergeCell ref="Q51:S51"/>
    <mergeCell ref="B52:D52"/>
    <mergeCell ref="H52:J52"/>
    <mergeCell ref="K52:M52"/>
    <mergeCell ref="N52:P52"/>
    <mergeCell ref="Q52:S52"/>
    <mergeCell ref="B53:D53"/>
    <mergeCell ref="H53:J53"/>
    <mergeCell ref="K53:M53"/>
    <mergeCell ref="N53:P53"/>
    <mergeCell ref="Q53:S53"/>
    <mergeCell ref="B54:D54"/>
    <mergeCell ref="H54:J54"/>
    <mergeCell ref="K54:M54"/>
    <mergeCell ref="N54:P54"/>
    <mergeCell ref="Q54:S54"/>
    <mergeCell ref="E55:G55"/>
    <mergeCell ref="H55:J55"/>
    <mergeCell ref="K55:M55"/>
    <mergeCell ref="N55:P55"/>
    <mergeCell ref="Q55:S55"/>
    <mergeCell ref="E56:G56"/>
    <mergeCell ref="H56:J56"/>
    <mergeCell ref="K56:M56"/>
    <mergeCell ref="N56:P56"/>
    <mergeCell ref="Q56:S56"/>
    <mergeCell ref="E57:G57"/>
    <mergeCell ref="H57:J57"/>
    <mergeCell ref="K57:M57"/>
    <mergeCell ref="N57:P57"/>
    <mergeCell ref="Q57:S57"/>
    <mergeCell ref="E58:G58"/>
    <mergeCell ref="H58:J58"/>
    <mergeCell ref="K58:M58"/>
    <mergeCell ref="N58:P58"/>
    <mergeCell ref="Q58:S58"/>
    <mergeCell ref="H59:J59"/>
    <mergeCell ref="K59:M59"/>
    <mergeCell ref="N59:P59"/>
    <mergeCell ref="Q59:S59"/>
    <mergeCell ref="H60:J60"/>
    <mergeCell ref="K60:M60"/>
    <mergeCell ref="N60:P60"/>
    <mergeCell ref="Q60:S60"/>
    <mergeCell ref="H61:J61"/>
    <mergeCell ref="K61:M61"/>
    <mergeCell ref="N61:P61"/>
    <mergeCell ref="Q61:S61"/>
    <mergeCell ref="H62:J62"/>
    <mergeCell ref="K62:M62"/>
    <mergeCell ref="N62:P62"/>
    <mergeCell ref="Q62:S62"/>
    <mergeCell ref="A22:A46"/>
    <mergeCell ref="A47:A54"/>
    <mergeCell ref="A55:A62"/>
    <mergeCell ref="B22:B27"/>
    <mergeCell ref="B28:B37"/>
    <mergeCell ref="B38:B39"/>
    <mergeCell ref="B55:B58"/>
    <mergeCell ref="B59:B62"/>
  </mergeCells>
  <conditionalFormatting sqref="S26">
    <cfRule type="colorScale" priority="1">
      <colorScale>
        <cfvo type="min"/>
        <cfvo type="max"/>
        <color rgb="FFFFFFFF"/>
        <color rgb="FFE67C73"/>
      </colorScale>
    </cfRule>
  </conditionalFormatting>
  <conditionalFormatting sqref="G22:G44 J22:J44 M22:M44 P22:P44 S22:S44">
    <cfRule type="colorScale" priority="3">
      <colorScale>
        <cfvo type="min"/>
        <cfvo type="max"/>
        <color rgb="FFFFFFFF"/>
        <color rgb="FFE06666"/>
      </colorScale>
    </cfRule>
  </conditionalFormatting>
  <conditionalFormatting sqref="H54 K54:AC54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"/>
  <sheetViews>
    <sheetView workbookViewId="0">
      <selection activeCell="K25" sqref="K25"/>
    </sheetView>
  </sheetViews>
  <sheetFormatPr defaultColWidth="12.6339285714286" defaultRowHeight="15.75" customHeight="1"/>
  <sheetData>
    <row r="1" customHeight="1" spans="6:7">
      <c r="F1" s="261"/>
      <c r="G1" s="261"/>
    </row>
    <row r="2" customHeight="1" spans="2:7">
      <c r="B2" s="255"/>
      <c r="C2" s="256" t="s">
        <v>101</v>
      </c>
      <c r="D2" s="256" t="s">
        <v>102</v>
      </c>
      <c r="E2" s="256" t="s">
        <v>30</v>
      </c>
      <c r="F2" s="267" t="s">
        <v>103</v>
      </c>
      <c r="G2" s="258"/>
    </row>
    <row r="3" customHeight="1" spans="2:7">
      <c r="B3" s="257" t="s">
        <v>104</v>
      </c>
      <c r="C3" s="258">
        <v>1000000</v>
      </c>
      <c r="D3" s="258">
        <v>730000</v>
      </c>
      <c r="E3" s="258">
        <v>1000000</v>
      </c>
      <c r="F3" s="268">
        <v>2756000</v>
      </c>
      <c r="G3" s="258"/>
    </row>
    <row r="4" customHeight="1" spans="2:7">
      <c r="B4" s="257" t="s">
        <v>105</v>
      </c>
      <c r="C4" s="258">
        <v>61600</v>
      </c>
      <c r="D4" s="258">
        <v>100000</v>
      </c>
      <c r="E4" s="258">
        <v>150000</v>
      </c>
      <c r="F4" s="268">
        <v>200000</v>
      </c>
      <c r="G4" s="258"/>
    </row>
    <row r="5" customHeight="1" spans="2:7">
      <c r="B5" s="257" t="s">
        <v>106</v>
      </c>
      <c r="C5" s="258">
        <v>2708281</v>
      </c>
      <c r="D5" s="258">
        <v>5150964</v>
      </c>
      <c r="E5" s="258">
        <v>5150964</v>
      </c>
      <c r="F5" s="268">
        <v>6605343</v>
      </c>
      <c r="G5" s="258"/>
    </row>
    <row r="6" customHeight="1" spans="2:6">
      <c r="B6" s="257" t="s">
        <v>107</v>
      </c>
      <c r="C6" s="258">
        <v>3600845</v>
      </c>
      <c r="D6" s="258">
        <v>6826253</v>
      </c>
      <c r="E6" s="258">
        <v>6708206</v>
      </c>
      <c r="F6" s="268">
        <v>8846946</v>
      </c>
    </row>
    <row r="7" customHeight="1" spans="2:6">
      <c r="B7" s="257" t="s">
        <v>108</v>
      </c>
      <c r="C7" s="258">
        <v>4761178</v>
      </c>
      <c r="D7" s="258">
        <v>9004129</v>
      </c>
      <c r="E7" s="258">
        <v>8915667</v>
      </c>
      <c r="F7" s="268">
        <v>11761029</v>
      </c>
    </row>
    <row r="8" customHeight="1" spans="2:6">
      <c r="B8" s="259" t="s">
        <v>109</v>
      </c>
      <c r="C8" s="260">
        <v>6269612</v>
      </c>
      <c r="D8" s="260">
        <v>11835368</v>
      </c>
      <c r="E8" s="260">
        <v>11785368</v>
      </c>
      <c r="F8" s="269">
        <v>15549338</v>
      </c>
    </row>
    <row r="9" customHeight="1" spans="1:1">
      <c r="A9" s="261"/>
    </row>
    <row r="10" customHeight="1" spans="1:10">
      <c r="A10" s="261"/>
      <c r="B10" s="255"/>
      <c r="C10" s="256" t="s">
        <v>101</v>
      </c>
      <c r="D10" s="256" t="s">
        <v>102</v>
      </c>
      <c r="E10" s="256" t="s">
        <v>30</v>
      </c>
      <c r="F10" s="267" t="s">
        <v>103</v>
      </c>
      <c r="H10" s="255"/>
      <c r="I10" s="256" t="s">
        <v>102</v>
      </c>
      <c r="J10" s="267" t="s">
        <v>103</v>
      </c>
    </row>
    <row r="11" customHeight="1" spans="1:10">
      <c r="A11" s="261"/>
      <c r="B11" s="262" t="s">
        <v>110</v>
      </c>
      <c r="C11" s="263">
        <f t="shared" ref="C11:F11" si="0">-C3</f>
        <v>-1000000</v>
      </c>
      <c r="D11" s="263">
        <f t="shared" si="0"/>
        <v>-730000</v>
      </c>
      <c r="E11" s="263">
        <f t="shared" si="0"/>
        <v>-1000000</v>
      </c>
      <c r="F11" s="270">
        <f t="shared" si="0"/>
        <v>-2756000</v>
      </c>
      <c r="H11" s="259" t="s">
        <v>104</v>
      </c>
      <c r="I11" s="272">
        <f>730000/1000000</f>
        <v>0.73</v>
      </c>
      <c r="J11" s="273">
        <f>2756000/1000000</f>
        <v>2.756</v>
      </c>
    </row>
    <row r="12" customHeight="1" spans="2:6">
      <c r="B12" s="264">
        <v>2026</v>
      </c>
      <c r="C12" s="263">
        <f t="shared" ref="C12:F12" si="1">C11+C5-C4</f>
        <v>1646681</v>
      </c>
      <c r="D12" s="263">
        <f t="shared" si="1"/>
        <v>4320964</v>
      </c>
      <c r="E12" s="263">
        <f t="shared" si="1"/>
        <v>4000964</v>
      </c>
      <c r="F12" s="270">
        <f t="shared" si="1"/>
        <v>3649343</v>
      </c>
    </row>
    <row r="13" customHeight="1" spans="2:6">
      <c r="B13" s="264">
        <v>2027</v>
      </c>
      <c r="C13" s="263">
        <f t="shared" ref="C13:F13" si="2">C12+C6-C4</f>
        <v>5185926</v>
      </c>
      <c r="D13" s="263">
        <f t="shared" si="2"/>
        <v>11047217</v>
      </c>
      <c r="E13" s="263">
        <f t="shared" si="2"/>
        <v>10559170</v>
      </c>
      <c r="F13" s="270">
        <f t="shared" si="2"/>
        <v>12296289</v>
      </c>
    </row>
    <row r="14" customHeight="1" spans="2:6">
      <c r="B14" s="264">
        <v>2028</v>
      </c>
      <c r="C14" s="263">
        <f t="shared" ref="C14:F14" si="3">C13+C7-C4</f>
        <v>9885504</v>
      </c>
      <c r="D14" s="263">
        <f t="shared" si="3"/>
        <v>19951346</v>
      </c>
      <c r="E14" s="263">
        <f t="shared" si="3"/>
        <v>19324837</v>
      </c>
      <c r="F14" s="270">
        <f t="shared" si="3"/>
        <v>23857318</v>
      </c>
    </row>
    <row r="15" customHeight="1" spans="2:7">
      <c r="B15" s="265">
        <v>2029</v>
      </c>
      <c r="C15" s="266">
        <f t="shared" ref="C15:F15" si="4">C14+C8-C4</f>
        <v>16093516</v>
      </c>
      <c r="D15" s="266">
        <f t="shared" si="4"/>
        <v>31686714</v>
      </c>
      <c r="E15" s="266">
        <f t="shared" si="4"/>
        <v>30960205</v>
      </c>
      <c r="F15" s="266">
        <f t="shared" si="4"/>
        <v>39206656</v>
      </c>
      <c r="G15" s="271"/>
    </row>
    <row r="16" customHeight="1" spans="6:6">
      <c r="F16" s="261"/>
    </row>
    <row r="17" customHeight="1" spans="6:6">
      <c r="F17" s="261"/>
    </row>
    <row r="18" customHeight="1" spans="6:6">
      <c r="F18" s="261"/>
    </row>
    <row r="19" customHeight="1" spans="1:6">
      <c r="A19" s="261"/>
      <c r="B19" s="261"/>
      <c r="C19" s="261"/>
      <c r="D19" s="261"/>
      <c r="E19" s="261"/>
      <c r="F19" s="261"/>
    </row>
    <row r="20" customHeight="1" spans="1:6">
      <c r="A20" s="261"/>
      <c r="B20" s="261"/>
      <c r="C20" s="261"/>
      <c r="D20" s="261"/>
      <c r="E20" s="261"/>
      <c r="F20" s="261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009"/>
  <sheetViews>
    <sheetView showGridLines="0" workbookViewId="0">
      <selection activeCell="A1" sqref="A1"/>
    </sheetView>
  </sheetViews>
  <sheetFormatPr defaultColWidth="12.6339285714286" defaultRowHeight="15.75" customHeight="1"/>
  <cols>
    <col min="1" max="2" width="9.25" customWidth="1"/>
    <col min="3" max="3" width="14" customWidth="1"/>
    <col min="4" max="4" width="10.25" customWidth="1"/>
    <col min="5" max="15" width="5.88392857142857" customWidth="1"/>
    <col min="16" max="16" width="5.88392857142857" customWidth="1" collapsed="1"/>
    <col min="17" max="22" width="5.88392857142857" hidden="1" customWidth="1" outlineLevel="1"/>
    <col min="23" max="24" width="5.88392857142857" customWidth="1"/>
    <col min="25" max="25" width="5.88392857142857" customWidth="1" collapsed="1"/>
    <col min="26" max="31" width="5.88392857142857" hidden="1" customWidth="1" outlineLevel="1"/>
  </cols>
  <sheetData>
    <row r="1" ht="15.2" spans="1:31">
      <c r="A1" s="37" t="s">
        <v>111</v>
      </c>
      <c r="B1" s="38" t="s">
        <v>112</v>
      </c>
      <c r="C1" s="39"/>
      <c r="D1" s="39"/>
      <c r="E1" s="39"/>
      <c r="F1" s="39"/>
      <c r="G1" s="39"/>
      <c r="H1" s="39"/>
      <c r="I1" s="60"/>
      <c r="J1" s="59"/>
      <c r="K1" s="59"/>
      <c r="L1" s="59"/>
      <c r="M1" s="61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ht="9.75" customHeight="1" spans="1:31">
      <c r="A2" s="39"/>
      <c r="B2" s="39"/>
      <c r="C2" s="39"/>
      <c r="D2" s="39"/>
      <c r="E2" s="39"/>
      <c r="F2" s="39"/>
      <c r="G2" s="39"/>
      <c r="H2" s="39"/>
      <c r="I2" s="60"/>
      <c r="J2" s="59"/>
      <c r="K2" s="59"/>
      <c r="L2" s="59"/>
      <c r="M2" s="61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ht="13.5" customHeight="1" spans="1:31">
      <c r="A3" s="77" t="s">
        <v>1</v>
      </c>
      <c r="B3" s="41"/>
      <c r="C3" s="42"/>
      <c r="D3" s="39"/>
      <c r="E3" s="77" t="s">
        <v>2</v>
      </c>
      <c r="F3" s="41"/>
      <c r="G3" s="41"/>
      <c r="H3" s="41"/>
      <c r="I3" s="41"/>
      <c r="J3" s="42"/>
      <c r="K3" s="59"/>
      <c r="L3" s="77" t="s">
        <v>3</v>
      </c>
      <c r="M3" s="41"/>
      <c r="N3" s="41"/>
      <c r="O3" s="41"/>
      <c r="P3" s="41"/>
      <c r="Q3" s="42"/>
      <c r="V3" s="59"/>
      <c r="W3" s="59"/>
      <c r="X3" s="59"/>
      <c r="Y3" s="59"/>
      <c r="Z3" s="59"/>
      <c r="AA3" s="59"/>
      <c r="AB3" s="59"/>
      <c r="AC3" s="59"/>
      <c r="AD3" s="59"/>
      <c r="AE3" s="59"/>
    </row>
    <row r="4" ht="13.5" customHeight="1" spans="1:31">
      <c r="A4" s="78" t="s">
        <v>4</v>
      </c>
      <c r="B4" s="41"/>
      <c r="C4" s="79">
        <v>24.5</v>
      </c>
      <c r="E4" s="78" t="s">
        <v>5</v>
      </c>
      <c r="F4" s="42"/>
      <c r="G4" s="81">
        <v>2026</v>
      </c>
      <c r="H4" s="81">
        <v>2027</v>
      </c>
      <c r="I4" s="81">
        <v>2028</v>
      </c>
      <c r="J4" s="81">
        <v>2029</v>
      </c>
      <c r="L4" s="78" t="s">
        <v>5</v>
      </c>
      <c r="M4" s="42"/>
      <c r="N4" s="81">
        <v>2026</v>
      </c>
      <c r="O4" s="81">
        <v>2027</v>
      </c>
      <c r="P4" s="81">
        <v>2028</v>
      </c>
      <c r="Q4" s="81">
        <v>2029</v>
      </c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ht="13.5" customHeight="1" spans="1:31">
      <c r="A5" s="78" t="s">
        <v>6</v>
      </c>
      <c r="B5" s="41"/>
      <c r="C5" s="62">
        <v>20</v>
      </c>
      <c r="E5" s="78" t="s">
        <v>113</v>
      </c>
      <c r="F5" s="42"/>
      <c r="G5" s="65">
        <v>3995</v>
      </c>
      <c r="H5" s="65">
        <v>6431</v>
      </c>
      <c r="I5" s="65">
        <v>7663</v>
      </c>
      <c r="J5" s="65">
        <v>8597</v>
      </c>
      <c r="K5" s="59"/>
      <c r="L5" s="78" t="s">
        <v>113</v>
      </c>
      <c r="M5" s="42"/>
      <c r="N5" s="65">
        <v>6790</v>
      </c>
      <c r="O5" s="65">
        <v>10906</v>
      </c>
      <c r="P5" s="65">
        <v>12991</v>
      </c>
      <c r="Q5" s="65">
        <v>14587</v>
      </c>
      <c r="V5" s="105"/>
      <c r="W5" s="59"/>
      <c r="X5" s="59"/>
      <c r="Y5" s="59"/>
      <c r="Z5" s="59"/>
      <c r="AA5" s="59"/>
      <c r="AB5" s="59"/>
      <c r="AC5" s="59"/>
      <c r="AD5" s="59"/>
      <c r="AE5" s="59"/>
    </row>
    <row r="6" ht="13.5" customHeight="1" spans="1:31">
      <c r="A6" s="78" t="s">
        <v>8</v>
      </c>
      <c r="B6" s="41"/>
      <c r="C6" s="72">
        <f>7-1/3</f>
        <v>6.66666666666667</v>
      </c>
      <c r="E6" s="78" t="s">
        <v>114</v>
      </c>
      <c r="F6" s="42"/>
      <c r="G6" s="65">
        <v>4035</v>
      </c>
      <c r="H6" s="65">
        <v>6608</v>
      </c>
      <c r="I6" s="65">
        <v>7929</v>
      </c>
      <c r="J6" s="65">
        <v>8937</v>
      </c>
      <c r="K6" s="105"/>
      <c r="L6" s="78" t="s">
        <v>114</v>
      </c>
      <c r="M6" s="42"/>
      <c r="N6" s="65">
        <v>4035</v>
      </c>
      <c r="O6" s="65">
        <v>6608</v>
      </c>
      <c r="P6" s="65">
        <v>7929</v>
      </c>
      <c r="Q6" s="65">
        <v>8937</v>
      </c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 ht="13.5" customHeight="1" spans="1:31">
      <c r="A7" s="78" t="s">
        <v>10</v>
      </c>
      <c r="B7" s="41"/>
      <c r="C7" s="62">
        <f>6*52</f>
        <v>312</v>
      </c>
      <c r="E7" s="78" t="s">
        <v>23</v>
      </c>
      <c r="F7" s="42"/>
      <c r="G7" s="65">
        <f t="shared" ref="G7:J7" si="0">ROUNDUP(G5*$C$5,-3)</f>
        <v>80000</v>
      </c>
      <c r="H7" s="65">
        <f t="shared" si="0"/>
        <v>129000</v>
      </c>
      <c r="I7" s="65">
        <f t="shared" si="0"/>
        <v>154000</v>
      </c>
      <c r="J7" s="65">
        <f t="shared" si="0"/>
        <v>172000</v>
      </c>
      <c r="K7" s="105"/>
      <c r="L7" s="78" t="s">
        <v>23</v>
      </c>
      <c r="M7" s="42"/>
      <c r="N7" s="65">
        <f t="shared" ref="N7:Q7" si="1">ROUNDUP(N5*$C$5,-3)</f>
        <v>136000</v>
      </c>
      <c r="O7" s="65">
        <f t="shared" si="1"/>
        <v>219000</v>
      </c>
      <c r="P7" s="65">
        <f t="shared" si="1"/>
        <v>260000</v>
      </c>
      <c r="Q7" s="65">
        <f t="shared" si="1"/>
        <v>292000</v>
      </c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ht="13.5" customHeight="1" spans="1:31">
      <c r="A8" s="78" t="s">
        <v>13</v>
      </c>
      <c r="B8" s="41"/>
      <c r="C8" s="62">
        <v>4</v>
      </c>
      <c r="E8" s="78" t="s">
        <v>25</v>
      </c>
      <c r="F8" s="42"/>
      <c r="G8" s="65">
        <f t="shared" ref="G8:J8" si="2">ROUNDUP(G6*$C$5,-3)</f>
        <v>81000</v>
      </c>
      <c r="H8" s="65">
        <f t="shared" si="2"/>
        <v>133000</v>
      </c>
      <c r="I8" s="65">
        <f t="shared" si="2"/>
        <v>159000</v>
      </c>
      <c r="J8" s="65">
        <f t="shared" si="2"/>
        <v>179000</v>
      </c>
      <c r="K8" s="39"/>
      <c r="L8" s="78" t="s">
        <v>25</v>
      </c>
      <c r="M8" s="42"/>
      <c r="N8" s="65">
        <f t="shared" ref="N8:Q8" si="3">ROUNDUP(N6*$C$5,-3)</f>
        <v>81000</v>
      </c>
      <c r="O8" s="65">
        <f t="shared" si="3"/>
        <v>133000</v>
      </c>
      <c r="P8" s="65">
        <f t="shared" si="3"/>
        <v>159000</v>
      </c>
      <c r="Q8" s="65">
        <f t="shared" si="3"/>
        <v>179000</v>
      </c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 ht="13.5" customHeight="1" spans="1:31">
      <c r="A9" s="78" t="s">
        <v>16</v>
      </c>
      <c r="B9" s="41"/>
      <c r="C9" s="80">
        <v>0.5</v>
      </c>
      <c r="E9" s="78" t="s">
        <v>17</v>
      </c>
      <c r="F9" s="42"/>
      <c r="G9" s="80">
        <f t="shared" ref="G9:J9" si="4">(N5-N6)/N6</f>
        <v>0.68277571251549</v>
      </c>
      <c r="H9" s="80">
        <f t="shared" si="4"/>
        <v>0.650423728813559</v>
      </c>
      <c r="I9" s="80">
        <f t="shared" si="4"/>
        <v>0.638415941480641</v>
      </c>
      <c r="J9" s="80">
        <f t="shared" si="4"/>
        <v>0.632203200179031</v>
      </c>
      <c r="K9" s="39"/>
      <c r="L9" s="78" t="s">
        <v>17</v>
      </c>
      <c r="M9" s="42"/>
      <c r="N9" s="80">
        <v>0</v>
      </c>
      <c r="O9" s="80">
        <v>0</v>
      </c>
      <c r="P9" s="80">
        <v>0</v>
      </c>
      <c r="Q9" s="80">
        <v>0</v>
      </c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ht="13.5" customHeight="1" spans="1:31">
      <c r="A10" s="78" t="s">
        <v>18</v>
      </c>
      <c r="B10" s="41"/>
      <c r="C10" s="80">
        <v>0.3</v>
      </c>
      <c r="D10" s="39"/>
      <c r="E10" s="39"/>
      <c r="F10" s="39"/>
      <c r="G10" s="39"/>
      <c r="H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ht="7.5" customHeight="1" spans="1:31">
      <c r="A11" s="39"/>
      <c r="B11" s="39"/>
      <c r="C11" s="39"/>
      <c r="D11" s="39"/>
      <c r="E11" s="39"/>
      <c r="F11" s="39"/>
      <c r="G11" s="39"/>
      <c r="H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AA11" s="39"/>
      <c r="AB11" s="39"/>
      <c r="AC11" s="39"/>
      <c r="AD11" s="39"/>
      <c r="AE11" s="39"/>
    </row>
    <row r="12" ht="30" customHeight="1" spans="1:31">
      <c r="A12" s="81" t="s">
        <v>26</v>
      </c>
      <c r="B12" s="113" t="s">
        <v>26</v>
      </c>
      <c r="C12" s="114"/>
      <c r="D12" s="114"/>
      <c r="E12" s="159" t="s">
        <v>27</v>
      </c>
      <c r="F12" s="57"/>
      <c r="G12" s="58"/>
      <c r="H12" s="159" t="s">
        <v>115</v>
      </c>
      <c r="I12" s="57"/>
      <c r="J12" s="58"/>
      <c r="K12" s="159" t="s">
        <v>116</v>
      </c>
      <c r="L12" s="57"/>
      <c r="M12" s="58"/>
      <c r="N12" s="159" t="s">
        <v>117</v>
      </c>
      <c r="O12" s="57"/>
      <c r="P12" s="231"/>
      <c r="Q12" s="114" t="s">
        <v>118</v>
      </c>
      <c r="R12" s="57"/>
      <c r="S12" s="58"/>
      <c r="T12" s="159" t="s">
        <v>119</v>
      </c>
      <c r="U12" s="57"/>
      <c r="V12" s="231"/>
      <c r="W12" s="114" t="s">
        <v>120</v>
      </c>
      <c r="X12" s="57"/>
      <c r="Y12" s="231"/>
      <c r="Z12" s="114" t="s">
        <v>121</v>
      </c>
      <c r="AA12" s="57"/>
      <c r="AB12" s="58"/>
      <c r="AC12" s="159" t="s">
        <v>122</v>
      </c>
      <c r="AD12" s="57"/>
      <c r="AE12" s="231"/>
    </row>
    <row r="13" ht="15.95" spans="1:31">
      <c r="A13" s="115"/>
      <c r="B13" s="116" t="s">
        <v>32</v>
      </c>
      <c r="C13" s="117"/>
      <c r="D13" s="118"/>
      <c r="E13" s="160">
        <v>0</v>
      </c>
      <c r="F13" s="117"/>
      <c r="G13" s="161"/>
      <c r="H13" s="162">
        <v>0.1</v>
      </c>
      <c r="I13" s="117"/>
      <c r="J13" s="118"/>
      <c r="K13" s="160">
        <v>0.05</v>
      </c>
      <c r="L13" s="117"/>
      <c r="M13" s="161"/>
      <c r="N13" s="162">
        <v>0.05</v>
      </c>
      <c r="O13" s="117"/>
      <c r="P13" s="118"/>
      <c r="Q13" s="160">
        <v>0.05</v>
      </c>
      <c r="R13" s="117"/>
      <c r="S13" s="161"/>
      <c r="T13" s="162">
        <v>0.05</v>
      </c>
      <c r="U13" s="117"/>
      <c r="V13" s="118"/>
      <c r="W13" s="160">
        <v>0.05</v>
      </c>
      <c r="X13" s="117"/>
      <c r="Y13" s="161"/>
      <c r="Z13" s="162">
        <v>0.05</v>
      </c>
      <c r="AA13" s="117"/>
      <c r="AB13" s="118"/>
      <c r="AC13" s="160">
        <v>0.05</v>
      </c>
      <c r="AD13" s="117"/>
      <c r="AE13" s="161"/>
    </row>
    <row r="14" ht="15.95" collapsed="1" spans="1:31">
      <c r="A14" s="115"/>
      <c r="B14" s="83" t="s">
        <v>33</v>
      </c>
      <c r="C14" s="41"/>
      <c r="D14" s="42"/>
      <c r="E14" s="163">
        <f>SUM(E15:G17)</f>
        <v>0.02</v>
      </c>
      <c r="F14" s="41"/>
      <c r="G14" s="164"/>
      <c r="H14" s="163">
        <f>SUM(H15:J17)</f>
        <v>0.1</v>
      </c>
      <c r="I14" s="41"/>
      <c r="J14" s="164"/>
      <c r="K14" s="163">
        <v>0.05</v>
      </c>
      <c r="L14" s="41"/>
      <c r="M14" s="164"/>
      <c r="N14" s="232">
        <v>0.05</v>
      </c>
      <c r="O14" s="41"/>
      <c r="P14" s="42"/>
      <c r="Q14" s="163">
        <v>0.05</v>
      </c>
      <c r="R14" s="41"/>
      <c r="S14" s="164"/>
      <c r="T14" s="232">
        <v>0.05</v>
      </c>
      <c r="U14" s="41"/>
      <c r="V14" s="42"/>
      <c r="W14" s="163">
        <v>0.05</v>
      </c>
      <c r="X14" s="41"/>
      <c r="Y14" s="164"/>
      <c r="Z14" s="232">
        <v>0.05</v>
      </c>
      <c r="AA14" s="41"/>
      <c r="AB14" s="42"/>
      <c r="AC14" s="163">
        <v>0.05</v>
      </c>
      <c r="AD14" s="41"/>
      <c r="AE14" s="164"/>
    </row>
    <row r="15" ht="15.2" hidden="1" outlineLevel="1" spans="1:31">
      <c r="A15" s="119"/>
      <c r="B15" s="120" t="s">
        <v>34</v>
      </c>
      <c r="C15" s="41"/>
      <c r="D15" s="42"/>
      <c r="E15" s="165">
        <v>0</v>
      </c>
      <c r="F15" s="41"/>
      <c r="G15" s="164"/>
      <c r="H15" s="166">
        <v>0.05</v>
      </c>
      <c r="I15" s="41"/>
      <c r="J15" s="42"/>
      <c r="K15" s="165">
        <f>K14/2</f>
        <v>0.025</v>
      </c>
      <c r="L15" s="41"/>
      <c r="M15" s="164"/>
      <c r="N15" s="166">
        <v>0.05</v>
      </c>
      <c r="O15" s="41"/>
      <c r="P15" s="42"/>
      <c r="Q15" s="165">
        <v>0.05</v>
      </c>
      <c r="R15" s="41"/>
      <c r="S15" s="164"/>
      <c r="T15" s="166">
        <v>0.05</v>
      </c>
      <c r="U15" s="41"/>
      <c r="V15" s="42"/>
      <c r="W15" s="165">
        <v>0.05</v>
      </c>
      <c r="X15" s="41"/>
      <c r="Y15" s="164"/>
      <c r="Z15" s="166">
        <v>0.05</v>
      </c>
      <c r="AA15" s="41"/>
      <c r="AB15" s="42"/>
      <c r="AC15" s="165">
        <v>0.05</v>
      </c>
      <c r="AD15" s="41"/>
      <c r="AE15" s="164"/>
    </row>
    <row r="16" ht="15.2" hidden="1" outlineLevel="1" spans="1:31">
      <c r="A16" s="119"/>
      <c r="B16" s="120" t="s">
        <v>35</v>
      </c>
      <c r="C16" s="41"/>
      <c r="D16" s="42"/>
      <c r="E16" s="165">
        <v>0.02</v>
      </c>
      <c r="F16" s="41"/>
      <c r="G16" s="164"/>
      <c r="H16" s="166">
        <v>0.02</v>
      </c>
      <c r="I16" s="41"/>
      <c r="J16" s="42"/>
      <c r="K16" s="165">
        <f>K14/4</f>
        <v>0.0125</v>
      </c>
      <c r="L16" s="41"/>
      <c r="M16" s="164"/>
      <c r="N16" s="166">
        <v>0</v>
      </c>
      <c r="O16" s="41"/>
      <c r="P16" s="42"/>
      <c r="Q16" s="165">
        <v>0</v>
      </c>
      <c r="R16" s="41"/>
      <c r="S16" s="164"/>
      <c r="T16" s="166">
        <v>0</v>
      </c>
      <c r="U16" s="41"/>
      <c r="V16" s="42"/>
      <c r="W16" s="165">
        <v>0</v>
      </c>
      <c r="X16" s="41"/>
      <c r="Y16" s="164"/>
      <c r="Z16" s="166">
        <v>0</v>
      </c>
      <c r="AA16" s="41"/>
      <c r="AB16" s="42"/>
      <c r="AC16" s="165">
        <v>0</v>
      </c>
      <c r="AD16" s="41"/>
      <c r="AE16" s="164"/>
    </row>
    <row r="17" ht="15.95" hidden="1" outlineLevel="1" spans="1:31">
      <c r="A17" s="119"/>
      <c r="B17" s="121" t="s">
        <v>36</v>
      </c>
      <c r="C17" s="122"/>
      <c r="D17" s="123"/>
      <c r="E17" s="167">
        <v>0</v>
      </c>
      <c r="F17" s="122"/>
      <c r="G17" s="168"/>
      <c r="H17" s="169">
        <v>0.03</v>
      </c>
      <c r="I17" s="122"/>
      <c r="J17" s="123"/>
      <c r="K17" s="167">
        <f>K14/4</f>
        <v>0.0125</v>
      </c>
      <c r="L17" s="122"/>
      <c r="M17" s="168"/>
      <c r="N17" s="169">
        <v>0</v>
      </c>
      <c r="O17" s="122"/>
      <c r="P17" s="123"/>
      <c r="Q17" s="167">
        <v>0</v>
      </c>
      <c r="R17" s="122"/>
      <c r="S17" s="168"/>
      <c r="T17" s="169">
        <v>0</v>
      </c>
      <c r="U17" s="122"/>
      <c r="V17" s="123"/>
      <c r="W17" s="167">
        <v>0</v>
      </c>
      <c r="X17" s="122"/>
      <c r="Y17" s="168"/>
      <c r="Z17" s="169">
        <v>0</v>
      </c>
      <c r="AA17" s="122"/>
      <c r="AB17" s="123"/>
      <c r="AC17" s="167">
        <v>0</v>
      </c>
      <c r="AD17" s="122"/>
      <c r="AE17" s="168"/>
    </row>
    <row r="18" ht="16.7" spans="1:31">
      <c r="A18" s="115"/>
      <c r="B18" s="124" t="s">
        <v>37</v>
      </c>
      <c r="C18" s="125" t="s">
        <v>38</v>
      </c>
      <c r="D18" s="125" t="s">
        <v>39</v>
      </c>
      <c r="E18" s="170" t="s">
        <v>40</v>
      </c>
      <c r="F18" s="171" t="s">
        <v>41</v>
      </c>
      <c r="G18" s="172" t="s">
        <v>42</v>
      </c>
      <c r="H18" s="173" t="s">
        <v>40</v>
      </c>
      <c r="I18" s="124" t="s">
        <v>41</v>
      </c>
      <c r="J18" s="125" t="s">
        <v>42</v>
      </c>
      <c r="K18" s="173" t="s">
        <v>40</v>
      </c>
      <c r="L18" s="124" t="s">
        <v>41</v>
      </c>
      <c r="M18" s="125" t="s">
        <v>42</v>
      </c>
      <c r="N18" s="173" t="s">
        <v>40</v>
      </c>
      <c r="O18" s="124" t="s">
        <v>41</v>
      </c>
      <c r="P18" s="125" t="s">
        <v>42</v>
      </c>
      <c r="Q18" s="173" t="s">
        <v>40</v>
      </c>
      <c r="R18" s="124" t="s">
        <v>41</v>
      </c>
      <c r="S18" s="125" t="s">
        <v>42</v>
      </c>
      <c r="T18" s="173" t="s">
        <v>40</v>
      </c>
      <c r="U18" s="124" t="s">
        <v>41</v>
      </c>
      <c r="V18" s="125" t="s">
        <v>42</v>
      </c>
      <c r="W18" s="173" t="s">
        <v>40</v>
      </c>
      <c r="X18" s="124" t="s">
        <v>41</v>
      </c>
      <c r="Y18" s="246" t="s">
        <v>42</v>
      </c>
      <c r="Z18" s="247" t="s">
        <v>40</v>
      </c>
      <c r="AA18" s="248" t="s">
        <v>41</v>
      </c>
      <c r="AB18" s="249" t="s">
        <v>42</v>
      </c>
      <c r="AC18" s="251" t="s">
        <v>40</v>
      </c>
      <c r="AD18" s="252" t="s">
        <v>41</v>
      </c>
      <c r="AE18" s="253" t="s">
        <v>42</v>
      </c>
    </row>
    <row r="19" ht="15.95" spans="1:31">
      <c r="A19" s="126" t="s">
        <v>43</v>
      </c>
      <c r="B19" s="127" t="s">
        <v>44</v>
      </c>
      <c r="C19" s="128" t="s">
        <v>45</v>
      </c>
      <c r="D19" s="129" t="s">
        <v>46</v>
      </c>
      <c r="E19" s="174">
        <v>7300</v>
      </c>
      <c r="F19" s="175">
        <f>IFERROR(($J$7+$J$9*$J$8)/(E19*$C$6),"")</f>
        <v>5.85954190750781</v>
      </c>
      <c r="G19" s="176">
        <f t="shared" ref="G19:G21" si="5">IF(F19*$C$6*$C$4/$J$8=0,"",F19*$C$6*$C$4/$J$8)</f>
        <v>0.00534669559530507</v>
      </c>
      <c r="H19" s="174">
        <v>7300</v>
      </c>
      <c r="I19" s="175">
        <f>IFERROR(($J$7+$J$9*$J$8)/(H19*$C$6),"")</f>
        <v>5.85954190750781</v>
      </c>
      <c r="J19" s="176">
        <f t="shared" ref="J19:J22" si="6">IF(I19*$C$6*$C$4/$J$8=0,"",I19*$C$6*$C$4/$J$8)</f>
        <v>0.00534669559530507</v>
      </c>
      <c r="K19" s="174">
        <f t="shared" ref="K19:K21" si="7">$H19</f>
        <v>7300</v>
      </c>
      <c r="L19" s="175">
        <f>IFERROR(($J$7+$J$9*$J$8)/(K19*$C$6),"")</f>
        <v>5.85954190750781</v>
      </c>
      <c r="M19" s="176">
        <f t="shared" ref="M19:M22" si="8">IF(L19*$C$6*$C$4/$J$8=0,"",L19*$C$6*$C$4/$J$8)</f>
        <v>0.00534669559530507</v>
      </c>
      <c r="N19" s="174">
        <f t="shared" ref="N19:N21" si="9">$H19</f>
        <v>7300</v>
      </c>
      <c r="O19" s="175">
        <f>IFERROR(($J$7+$J$9*$J$8)/(N19*$C$6),"")</f>
        <v>5.85954190750781</v>
      </c>
      <c r="P19" s="233">
        <f t="shared" ref="P19:P24" si="10">IF(O19*$C$6*$C$4/$J$8=0,"",O19*$C$6*$C$4/$J$8)</f>
        <v>0.00534669559530507</v>
      </c>
      <c r="Q19" s="174">
        <f t="shared" ref="Q19:Q21" si="11">$H19</f>
        <v>7300</v>
      </c>
      <c r="R19" s="175">
        <f>IFERROR(($J$7+$J$9*$J$8)/(Q19*$C$6),"")</f>
        <v>5.85954190750781</v>
      </c>
      <c r="S19" s="176">
        <f t="shared" ref="S19:S24" si="12">IF(R19*$C$6*$C$4/$J$8=0,"",R19*$C$6*$C$4/$J$8)</f>
        <v>0.00534669559530507</v>
      </c>
      <c r="T19" s="174">
        <f t="shared" ref="T19:T21" si="13">$H19</f>
        <v>7300</v>
      </c>
      <c r="U19" s="175">
        <f>IFERROR(($J$7+$J$9*$J$8)/(T19*$C$6),"")</f>
        <v>5.85954190750781</v>
      </c>
      <c r="V19" s="176">
        <f t="shared" ref="V19:V24" si="14">IF(U19*$C$6*$C$4/$J$8=0,"",U19*$C$6*$C$4/$J$8)</f>
        <v>0.00534669559530507</v>
      </c>
      <c r="W19" s="174">
        <f t="shared" ref="W19:W21" si="15">$H19</f>
        <v>7300</v>
      </c>
      <c r="X19" s="175">
        <f>IFERROR(($J$7+$J$9*$J$8)/(W19*$C$6),"")</f>
        <v>5.85954190750781</v>
      </c>
      <c r="Y19" s="233">
        <f t="shared" ref="Y19:Y24" si="16">IF(X19*$C$6*$C$4/$J$8=0,"",X19*$C$6*$C$4/$J$8)</f>
        <v>0.00534669559530507</v>
      </c>
      <c r="Z19" s="174">
        <f t="shared" ref="Z19:Z21" si="17">$H19</f>
        <v>7300</v>
      </c>
      <c r="AA19" s="175">
        <f>IFERROR(($J$7+$J$9*$J$8)/(Z19*$C$6),"")</f>
        <v>5.85954190750781</v>
      </c>
      <c r="AB19" s="176">
        <f t="shared" ref="AB19:AB24" si="18">IF(AA19*$C$6*$C$4/$J$8=0,"",AA19*$C$6*$C$4/$J$8)</f>
        <v>0.00534669559530507</v>
      </c>
      <c r="AC19" s="174">
        <f t="shared" ref="AC19:AC21" si="19">$H19</f>
        <v>7300</v>
      </c>
      <c r="AD19" s="175">
        <f>IFERROR(($J$7+$J$9*$J$8)/(AC19*$C$6),"")</f>
        <v>5.85954190750781</v>
      </c>
      <c r="AE19" s="233">
        <f t="shared" ref="AE19:AE22" si="20">IF(AD19*$C$6*$C$4/$J$8=0,"",AD19*$C$6*$C$4/$J$8)</f>
        <v>0.00534669559530507</v>
      </c>
    </row>
    <row r="20" ht="15.2" spans="1:31">
      <c r="A20" s="48"/>
      <c r="B20" s="48"/>
      <c r="C20" s="130" t="s">
        <v>47</v>
      </c>
      <c r="D20" s="131" t="s">
        <v>48</v>
      </c>
      <c r="E20" s="177" t="e">
        <f>H20</f>
        <v>#REF!</v>
      </c>
      <c r="F20" s="178" t="str">
        <f>IFERROR($J$7/(E20*$C$6),"")</f>
        <v/>
      </c>
      <c r="G20" s="179" t="e">
        <f t="shared" si="5"/>
        <v>#VALUE!</v>
      </c>
      <c r="H20" s="180" t="e">
        <f>#REF!</f>
        <v>#REF!</v>
      </c>
      <c r="I20" s="178" t="str">
        <f>IFERROR($J$7/(H20*$C$6),"")</f>
        <v/>
      </c>
      <c r="J20" s="179" t="e">
        <f t="shared" si="6"/>
        <v>#VALUE!</v>
      </c>
      <c r="K20" s="180" t="e">
        <f t="shared" si="7"/>
        <v>#REF!</v>
      </c>
      <c r="L20" s="178" t="str">
        <f>IFERROR($J$7/(K20*$C$6),"")</f>
        <v/>
      </c>
      <c r="M20" s="179" t="e">
        <f t="shared" si="8"/>
        <v>#VALUE!</v>
      </c>
      <c r="N20" s="180" t="e">
        <f t="shared" si="9"/>
        <v>#REF!</v>
      </c>
      <c r="O20" s="178" t="str">
        <f>IFERROR($J$7/(N20*$C$6),"")</f>
        <v/>
      </c>
      <c r="P20" s="191" t="e">
        <f t="shared" si="10"/>
        <v>#VALUE!</v>
      </c>
      <c r="Q20" s="180" t="e">
        <f t="shared" si="11"/>
        <v>#REF!</v>
      </c>
      <c r="R20" s="178" t="str">
        <f>IFERROR($J$7/(Q20*$C$6),"")</f>
        <v/>
      </c>
      <c r="S20" s="179" t="e">
        <f t="shared" si="12"/>
        <v>#VALUE!</v>
      </c>
      <c r="T20" s="180" t="e">
        <f t="shared" si="13"/>
        <v>#REF!</v>
      </c>
      <c r="U20" s="178" t="str">
        <f>IFERROR($J$7/(T20*$C$6),"")</f>
        <v/>
      </c>
      <c r="V20" s="179" t="e">
        <f t="shared" si="14"/>
        <v>#VALUE!</v>
      </c>
      <c r="W20" s="180" t="e">
        <f t="shared" si="15"/>
        <v>#REF!</v>
      </c>
      <c r="X20" s="178" t="str">
        <f>IFERROR($J$7/(W20*$C$6),"")</f>
        <v/>
      </c>
      <c r="Y20" s="191" t="e">
        <f t="shared" si="16"/>
        <v>#VALUE!</v>
      </c>
      <c r="Z20" s="180" t="e">
        <f t="shared" si="17"/>
        <v>#REF!</v>
      </c>
      <c r="AA20" s="178" t="str">
        <f>IFERROR($J$7/(Z20*$C$6),"")</f>
        <v/>
      </c>
      <c r="AB20" s="179" t="e">
        <f t="shared" si="18"/>
        <v>#VALUE!</v>
      </c>
      <c r="AC20" s="180" t="e">
        <f t="shared" si="19"/>
        <v>#REF!</v>
      </c>
      <c r="AD20" s="178" t="str">
        <f>IFERROR($J$7/(AC20*$C$6),"")</f>
        <v/>
      </c>
      <c r="AE20" s="191" t="e">
        <f t="shared" si="20"/>
        <v>#VALUE!</v>
      </c>
    </row>
    <row r="21" ht="15.2" spans="1:31">
      <c r="A21" s="48"/>
      <c r="B21" s="48"/>
      <c r="C21" s="132" t="s">
        <v>49</v>
      </c>
      <c r="D21" s="131" t="s">
        <v>46</v>
      </c>
      <c r="E21" s="180" t="e">
        <f>#REF!</f>
        <v>#REF!</v>
      </c>
      <c r="F21" s="178" t="str">
        <f>IFERROR(($J$7+$J$9*$J$8)/(E21*$C$6),"")</f>
        <v/>
      </c>
      <c r="G21" s="179" t="e">
        <f t="shared" si="5"/>
        <v>#VALUE!</v>
      </c>
      <c r="H21" s="180" t="e">
        <f>#REF!</f>
        <v>#REF!</v>
      </c>
      <c r="I21" s="178" t="str">
        <f>IFERROR(($J$7+$J$9*$J$8)/(H21*$C$6),"")</f>
        <v/>
      </c>
      <c r="J21" s="179" t="e">
        <f t="shared" si="6"/>
        <v>#VALUE!</v>
      </c>
      <c r="K21" s="180" t="e">
        <f t="shared" si="7"/>
        <v>#REF!</v>
      </c>
      <c r="L21" s="178" t="str">
        <f>IFERROR(($J$7+$J$9*$J$8)/(K21*$C$6),"")</f>
        <v/>
      </c>
      <c r="M21" s="179" t="e">
        <f t="shared" si="8"/>
        <v>#VALUE!</v>
      </c>
      <c r="N21" s="180" t="e">
        <f t="shared" si="9"/>
        <v>#REF!</v>
      </c>
      <c r="O21" s="178" t="str">
        <f>IFERROR(($J$7+$J$9*$J$8)/(N21*$C$6),"")</f>
        <v/>
      </c>
      <c r="P21" s="191" t="e">
        <f t="shared" si="10"/>
        <v>#VALUE!</v>
      </c>
      <c r="Q21" s="241" t="e">
        <f t="shared" si="11"/>
        <v>#REF!</v>
      </c>
      <c r="R21" s="178" t="str">
        <f>IFERROR(($J$7+$J$9*$J$8)/(Q21*$C$6),"")</f>
        <v/>
      </c>
      <c r="S21" s="179" t="e">
        <f t="shared" si="12"/>
        <v>#VALUE!</v>
      </c>
      <c r="T21" s="180" t="e">
        <f t="shared" si="13"/>
        <v>#REF!</v>
      </c>
      <c r="U21" s="178" t="str">
        <f>IFERROR(($J$7+$J$9*$J$8)/(T21*$C$6),"")</f>
        <v/>
      </c>
      <c r="V21" s="179" t="e">
        <f t="shared" si="14"/>
        <v>#VALUE!</v>
      </c>
      <c r="W21" s="180" t="e">
        <f t="shared" si="15"/>
        <v>#REF!</v>
      </c>
      <c r="X21" s="178" t="str">
        <f>IFERROR(($J$7+$J$9*$J$8)/(W21*$C$6),"")</f>
        <v/>
      </c>
      <c r="Y21" s="191" t="e">
        <f t="shared" si="16"/>
        <v>#VALUE!</v>
      </c>
      <c r="Z21" s="241" t="e">
        <f t="shared" si="17"/>
        <v>#REF!</v>
      </c>
      <c r="AA21" s="178" t="str">
        <f>IFERROR(($J$7+$J$9*$J$8)/(Z21*$C$6),"")</f>
        <v/>
      </c>
      <c r="AB21" s="179" t="e">
        <f t="shared" si="18"/>
        <v>#VALUE!</v>
      </c>
      <c r="AC21" s="180" t="e">
        <f t="shared" si="19"/>
        <v>#REF!</v>
      </c>
      <c r="AD21" s="178" t="str">
        <f>IFERROR(($J$7+$J$9*$J$8)/(AC21*$C$6),"")</f>
        <v/>
      </c>
      <c r="AE21" s="191" t="e">
        <f t="shared" si="20"/>
        <v>#VALUE!</v>
      </c>
    </row>
    <row r="22" ht="19" spans="1:31">
      <c r="A22" s="48"/>
      <c r="B22" s="48"/>
      <c r="C22" s="130" t="s">
        <v>50</v>
      </c>
      <c r="D22" s="133" t="s">
        <v>48</v>
      </c>
      <c r="E22" s="177"/>
      <c r="F22" s="181"/>
      <c r="G22" s="182"/>
      <c r="H22" s="180">
        <f>3500/1</f>
        <v>3500</v>
      </c>
      <c r="I22" s="178">
        <f>IFERROR(($J$7)/(H22*$C$6),"")</f>
        <v>7.37142857142857</v>
      </c>
      <c r="J22" s="179">
        <f t="shared" si="6"/>
        <v>0.00672625698324022</v>
      </c>
      <c r="K22" s="186"/>
      <c r="L22" s="178"/>
      <c r="M22" s="234" t="str">
        <f t="shared" si="8"/>
        <v/>
      </c>
      <c r="N22" s="180"/>
      <c r="O22" s="178"/>
      <c r="P22" s="235" t="str">
        <f t="shared" si="10"/>
        <v/>
      </c>
      <c r="Q22" s="180"/>
      <c r="R22" s="178"/>
      <c r="S22" s="191" t="str">
        <f t="shared" si="12"/>
        <v/>
      </c>
      <c r="T22" s="180"/>
      <c r="U22" s="178"/>
      <c r="V22" s="191" t="str">
        <f t="shared" si="14"/>
        <v/>
      </c>
      <c r="W22" s="180">
        <f t="shared" ref="W22:W23" si="21">H22</f>
        <v>3500</v>
      </c>
      <c r="X22" s="178">
        <f>IFERROR(($J$7)/(W22*$C$6),"")</f>
        <v>7.37142857142857</v>
      </c>
      <c r="Y22" s="191">
        <f t="shared" si="16"/>
        <v>0.00672625698324022</v>
      </c>
      <c r="Z22" s="180"/>
      <c r="AA22" s="178"/>
      <c r="AB22" s="191" t="str">
        <f t="shared" si="18"/>
        <v/>
      </c>
      <c r="AC22" s="186"/>
      <c r="AD22" s="178"/>
      <c r="AE22" s="235" t="str">
        <f t="shared" si="20"/>
        <v/>
      </c>
    </row>
    <row r="23" ht="19" spans="1:31">
      <c r="A23" s="48"/>
      <c r="B23" s="48"/>
      <c r="C23" s="130" t="s">
        <v>51</v>
      </c>
      <c r="D23" s="134" t="s">
        <v>52</v>
      </c>
      <c r="E23" s="183"/>
      <c r="F23" s="184"/>
      <c r="G23" s="185"/>
      <c r="H23" s="186"/>
      <c r="I23" s="178"/>
      <c r="J23" s="179"/>
      <c r="K23" s="180"/>
      <c r="L23" s="178"/>
      <c r="M23" s="234"/>
      <c r="N23" s="180">
        <f>H22</f>
        <v>3500</v>
      </c>
      <c r="O23" s="178">
        <f>IFERROR(($J$7+$J$8)/(N23*$C$6),"")</f>
        <v>15.0428571428571</v>
      </c>
      <c r="P23" s="191">
        <f t="shared" si="10"/>
        <v>0.0137262569832402</v>
      </c>
      <c r="Q23" s="180">
        <f>H22</f>
        <v>3500</v>
      </c>
      <c r="R23" s="178">
        <f>IFERROR(($J$7+$J$8)/(Q23*$C$6),"")</f>
        <v>15.0428571428571</v>
      </c>
      <c r="S23" s="191">
        <f t="shared" si="12"/>
        <v>0.0137262569832402</v>
      </c>
      <c r="T23" s="180">
        <f>H22</f>
        <v>3500</v>
      </c>
      <c r="U23" s="178">
        <f>IFERROR(($J$7+$J$8)/(T23*$C$6),"")</f>
        <v>15.0428571428571</v>
      </c>
      <c r="V23" s="191">
        <f t="shared" si="14"/>
        <v>0.0137262569832402</v>
      </c>
      <c r="W23" s="180">
        <f t="shared" si="21"/>
        <v>0</v>
      </c>
      <c r="X23" s="178" t="str">
        <f>IFERROR(($J$7+$J$8)/(W23*$C$6),"")</f>
        <v/>
      </c>
      <c r="Y23" s="191" t="e">
        <f t="shared" si="16"/>
        <v>#VALUE!</v>
      </c>
      <c r="Z23" s="180">
        <f>H22</f>
        <v>3500</v>
      </c>
      <c r="AA23" s="178">
        <f>IFERROR(($J$7+$J$8)/(Z23*$C$6),"")</f>
        <v>15.0428571428571</v>
      </c>
      <c r="AB23" s="191">
        <f t="shared" si="18"/>
        <v>0.0137262569832402</v>
      </c>
      <c r="AC23" s="180"/>
      <c r="AD23" s="178"/>
      <c r="AE23" s="235"/>
    </row>
    <row r="24" ht="15.2" spans="1:31">
      <c r="A24" s="48"/>
      <c r="B24" s="48"/>
      <c r="C24" s="132" t="s">
        <v>53</v>
      </c>
      <c r="D24" s="134" t="s">
        <v>52</v>
      </c>
      <c r="E24" s="183"/>
      <c r="F24" s="184"/>
      <c r="G24" s="185"/>
      <c r="H24" s="186"/>
      <c r="I24" s="178"/>
      <c r="J24" s="179" t="str">
        <f>IF(I24*$C$6*$C$4/$J$8=0,"",I24*$C$6*$C$4/$J$8)</f>
        <v/>
      </c>
      <c r="K24" s="180" t="e">
        <f>#REF!</f>
        <v>#REF!</v>
      </c>
      <c r="L24" s="178" t="str">
        <f>IFERROR(($J$7+$J$8)/(K24*$C$6),"")</f>
        <v/>
      </c>
      <c r="M24" s="179" t="e">
        <f>IF(L24*$C$6*$C$4/$J$8=0,"",L24*$C$6*$C$4/$J$8)</f>
        <v>#VALUE!</v>
      </c>
      <c r="N24" s="236"/>
      <c r="O24" s="178"/>
      <c r="P24" s="235" t="str">
        <f t="shared" si="10"/>
        <v/>
      </c>
      <c r="Q24" s="242"/>
      <c r="R24" s="178"/>
      <c r="S24" s="234" t="str">
        <f t="shared" si="12"/>
        <v/>
      </c>
      <c r="T24" s="236"/>
      <c r="U24" s="178"/>
      <c r="V24" s="234" t="str">
        <f t="shared" si="14"/>
        <v/>
      </c>
      <c r="W24" s="236"/>
      <c r="X24" s="178"/>
      <c r="Y24" s="235" t="str">
        <f t="shared" si="16"/>
        <v/>
      </c>
      <c r="Z24" s="242"/>
      <c r="AA24" s="178"/>
      <c r="AB24" s="234" t="str">
        <f t="shared" si="18"/>
        <v/>
      </c>
      <c r="AC24" s="180" t="e">
        <f>K24</f>
        <v>#REF!</v>
      </c>
      <c r="AD24" s="178" t="str">
        <f>IFERROR(($J$7+$J$8)/(AC24*$C$6),"")</f>
        <v/>
      </c>
      <c r="AE24" s="191" t="e">
        <f>IF(AD24*$C$6*$C$4/$J$8=0,"",AD24*$C$6*$C$4/$J$8)</f>
        <v>#VALUE!</v>
      </c>
    </row>
    <row r="25" ht="15.2" spans="1:31">
      <c r="A25" s="48"/>
      <c r="B25" s="135" t="s">
        <v>54</v>
      </c>
      <c r="C25" s="130" t="s">
        <v>55</v>
      </c>
      <c r="D25" s="134" t="s">
        <v>48</v>
      </c>
      <c r="E25" s="177">
        <v>350</v>
      </c>
      <c r="F25" s="178">
        <f>IFERROR($J$7/(E25*$C$6),"")</f>
        <v>73.7142857142857</v>
      </c>
      <c r="G25" s="179">
        <f>IF(F25*$C$6*$C$4/$J$8=0,"",F25*$C$6*$C$4/$J$8)</f>
        <v>0.0672625698324022</v>
      </c>
      <c r="H25" s="180"/>
      <c r="I25" s="178"/>
      <c r="J25" s="179"/>
      <c r="K25" s="186"/>
      <c r="L25" s="178"/>
      <c r="M25" s="234"/>
      <c r="N25" s="180"/>
      <c r="O25" s="178"/>
      <c r="P25" s="235"/>
      <c r="Q25" s="241"/>
      <c r="R25" s="178"/>
      <c r="S25" s="234"/>
      <c r="T25" s="180"/>
      <c r="U25" s="178"/>
      <c r="V25" s="234"/>
      <c r="W25" s="180"/>
      <c r="X25" s="178"/>
      <c r="Y25" s="235"/>
      <c r="Z25" s="241"/>
      <c r="AA25" s="178"/>
      <c r="AB25" s="234"/>
      <c r="AC25" s="186"/>
      <c r="AD25" s="178"/>
      <c r="AE25" s="235"/>
    </row>
    <row r="26" ht="19" spans="1:31">
      <c r="A26" s="48"/>
      <c r="B26" s="48"/>
      <c r="C26" s="130" t="s">
        <v>57</v>
      </c>
      <c r="D26" s="134" t="s">
        <v>48</v>
      </c>
      <c r="E26" s="177"/>
      <c r="F26" s="181"/>
      <c r="G26" s="182"/>
      <c r="H26" s="180">
        <f>3500/4</f>
        <v>875</v>
      </c>
      <c r="I26" s="178">
        <f>IFERROR(($J$7)/(H26*$C$6),"")</f>
        <v>29.4857142857143</v>
      </c>
      <c r="J26" s="179">
        <f>IF(I26*$C$6*$C$4/$J$8=0,"",I26*$C$6*$C$4/$J$8)</f>
        <v>0.0269050279329609</v>
      </c>
      <c r="K26" s="186"/>
      <c r="L26" s="178"/>
      <c r="M26" s="234" t="str">
        <f>IF(L26*$C$6*$C$4/$J$8=0,"",L26*$C$6*$C$4/$J$8)</f>
        <v/>
      </c>
      <c r="N26" s="180"/>
      <c r="O26" s="178"/>
      <c r="P26" s="235"/>
      <c r="Q26" s="180"/>
      <c r="R26" s="178"/>
      <c r="S26" s="234" t="str">
        <f t="shared" ref="S26:S29" si="22">IF(R26*$C$6*$C$4/$J$8=0,"",R26*$C$6*$C$4/$J$8)</f>
        <v/>
      </c>
      <c r="T26" s="180"/>
      <c r="U26" s="178"/>
      <c r="V26" s="234" t="str">
        <f t="shared" ref="V26:V29" si="23">IF(U26*$C$6*$C$4/$J$8=0,"",U26*$C$6*$C$4/$J$8)</f>
        <v/>
      </c>
      <c r="W26" s="180">
        <f>13000/12</f>
        <v>1083.33333333333</v>
      </c>
      <c r="X26" s="178">
        <f>IFERROR(($J$7)/(W26*$C$6),"")</f>
        <v>23.8153846153846</v>
      </c>
      <c r="Y26" s="191">
        <f>IF(X26*$C$6*$C$4/$J$8=0,"",X26*$C$6*$C$4/$J$8)</f>
        <v>0.0217309840996992</v>
      </c>
      <c r="Z26" s="180"/>
      <c r="AA26" s="178"/>
      <c r="AB26" s="234" t="str">
        <f t="shared" ref="AB26:AB29" si="24">IF(AA26*$C$6*$C$4/$J$8=0,"",AA26*$C$6*$C$4/$J$8)</f>
        <v/>
      </c>
      <c r="AC26" s="186"/>
      <c r="AD26" s="178" t="str">
        <f>IFERROR($J$7/(AC26*$C$6),"")</f>
        <v/>
      </c>
      <c r="AE26" s="235" t="e">
        <f>IF(AD26*$C$6*$C$4/$J$8=0,"",AD26*$C$6*$C$4/$J$8)</f>
        <v>#VALUE!</v>
      </c>
    </row>
    <row r="27" ht="19" spans="1:31">
      <c r="A27" s="48"/>
      <c r="B27" s="48"/>
      <c r="C27" s="130" t="s">
        <v>58</v>
      </c>
      <c r="D27" s="133" t="s">
        <v>52</v>
      </c>
      <c r="E27" s="177"/>
      <c r="F27" s="181"/>
      <c r="G27" s="182"/>
      <c r="H27" s="180"/>
      <c r="I27" s="178"/>
      <c r="J27" s="179"/>
      <c r="K27" s="186"/>
      <c r="L27" s="178"/>
      <c r="M27" s="234"/>
      <c r="N27" s="180">
        <f>13000/8</f>
        <v>1625</v>
      </c>
      <c r="O27" s="178">
        <f>IFERROR(($J$7+$J$8)/(N27*$C$6),"")</f>
        <v>32.4</v>
      </c>
      <c r="P27" s="191">
        <f t="shared" ref="P27:P29" si="25">IF(O27*$C$6*$C$4/$J$8=0,"",O27*$C$6*$C$4/$J$8)</f>
        <v>0.0295642458100559</v>
      </c>
      <c r="Q27" s="180">
        <f>13000/12</f>
        <v>1083.33333333333</v>
      </c>
      <c r="R27" s="178">
        <f>IFERROR(($J$7+$J$8)/(Q27*$C$6),"")</f>
        <v>48.6</v>
      </c>
      <c r="S27" s="179">
        <f t="shared" si="22"/>
        <v>0.0443463687150838</v>
      </c>
      <c r="T27" s="180">
        <f>13000/8</f>
        <v>1625</v>
      </c>
      <c r="U27" s="178">
        <f>IFERROR(($J$7+$J$8)/(T27*$C$6),"")</f>
        <v>32.4</v>
      </c>
      <c r="V27" s="179">
        <f t="shared" si="23"/>
        <v>0.0295642458100559</v>
      </c>
      <c r="W27" s="180"/>
      <c r="X27" s="178"/>
      <c r="Y27" s="235"/>
      <c r="Z27" s="180">
        <f>13000/7</f>
        <v>1857.14285714286</v>
      </c>
      <c r="AA27" s="178">
        <f>IFERROR(($J$7+$J$8)/(Z27*$C$6),"")</f>
        <v>28.35</v>
      </c>
      <c r="AB27" s="179">
        <f t="shared" si="24"/>
        <v>0.0258687150837989</v>
      </c>
      <c r="AC27" s="180"/>
      <c r="AD27" s="178"/>
      <c r="AE27" s="235"/>
    </row>
    <row r="28" ht="15.2" spans="1:31">
      <c r="A28" s="48"/>
      <c r="B28" s="48"/>
      <c r="C28" s="130" t="s">
        <v>59</v>
      </c>
      <c r="D28" s="134" t="s">
        <v>52</v>
      </c>
      <c r="E28" s="183"/>
      <c r="F28" s="184"/>
      <c r="G28" s="185"/>
      <c r="H28" s="186"/>
      <c r="I28" s="178"/>
      <c r="J28" s="179" t="str">
        <f t="shared" ref="J28:J38" si="26">IF(I28*$C$6*$C$4/$J$8=0,"",I28*$C$6*$C$4/$J$8)</f>
        <v/>
      </c>
      <c r="K28" s="180">
        <v>900</v>
      </c>
      <c r="L28" s="178">
        <f>IFERROR(($J$7+$J$8)/(K28*$C$6),"")</f>
        <v>58.5</v>
      </c>
      <c r="M28" s="179">
        <f t="shared" ref="M28:M29" si="27">IF(L28*$C$6*$C$4/$J$8=0,"",L28*$C$6*$C$4/$J$8)</f>
        <v>0.0533798882681564</v>
      </c>
      <c r="N28" s="236"/>
      <c r="O28" s="178" t="str">
        <f>IFERROR($J$7/(N28*$C$6),"")</f>
        <v/>
      </c>
      <c r="P28" s="235" t="e">
        <f t="shared" si="25"/>
        <v>#VALUE!</v>
      </c>
      <c r="Q28" s="242"/>
      <c r="R28" s="178"/>
      <c r="S28" s="234" t="str">
        <f t="shared" si="22"/>
        <v/>
      </c>
      <c r="T28" s="236"/>
      <c r="U28" s="178"/>
      <c r="V28" s="234" t="str">
        <f t="shared" si="23"/>
        <v/>
      </c>
      <c r="W28" s="236"/>
      <c r="X28" s="178"/>
      <c r="Y28" s="235" t="str">
        <f t="shared" ref="Y28:Y30" si="28">IF(X28*$C$6*$C$4/$J$8=0,"",X28*$C$6*$C$4/$J$8)</f>
        <v/>
      </c>
      <c r="Z28" s="242"/>
      <c r="AA28" s="178"/>
      <c r="AB28" s="234" t="str">
        <f t="shared" si="24"/>
        <v/>
      </c>
      <c r="AC28" s="180">
        <v>650</v>
      </c>
      <c r="AD28" s="178">
        <f>IFERROR(($J$7+$J$8)/(AC28*$C$6),"")</f>
        <v>81</v>
      </c>
      <c r="AE28" s="191">
        <f t="shared" ref="AE28:AE29" si="29">IF(AD28*$C$6*$C$4/$J$8=0,"",AD28*$C$6*$C$4/$J$8)</f>
        <v>0.0739106145251396</v>
      </c>
    </row>
    <row r="29" ht="19" spans="1:31">
      <c r="A29" s="48"/>
      <c r="B29" s="48"/>
      <c r="C29" s="130" t="s">
        <v>123</v>
      </c>
      <c r="D29" s="133" t="s">
        <v>61</v>
      </c>
      <c r="E29" s="180">
        <v>350</v>
      </c>
      <c r="F29" s="178">
        <f>IFERROR($J$8/(E29*$C$6),"")</f>
        <v>76.7142857142857</v>
      </c>
      <c r="G29" s="179">
        <f t="shared" ref="G29:G31" si="30">IF(F29*$C$6*$C$4/$J$8=0,"",F29*$C$6*$C$4/$J$8)</f>
        <v>0.07</v>
      </c>
      <c r="H29" s="180">
        <v>350</v>
      </c>
      <c r="I29" s="178">
        <f>IFERROR($J$8/(H29*$C$6),"")</f>
        <v>76.7142857142857</v>
      </c>
      <c r="J29" s="179">
        <f t="shared" si="26"/>
        <v>0.07</v>
      </c>
      <c r="K29" s="186"/>
      <c r="L29" s="178"/>
      <c r="M29" s="234" t="str">
        <f t="shared" si="27"/>
        <v/>
      </c>
      <c r="N29" s="236"/>
      <c r="O29" s="178"/>
      <c r="P29" s="235" t="str">
        <f t="shared" si="25"/>
        <v/>
      </c>
      <c r="Q29" s="242"/>
      <c r="R29" s="178"/>
      <c r="S29" s="234" t="str">
        <f t="shared" si="22"/>
        <v/>
      </c>
      <c r="T29" s="236"/>
      <c r="U29" s="178"/>
      <c r="V29" s="234" t="str">
        <f t="shared" si="23"/>
        <v/>
      </c>
      <c r="W29" s="180">
        <v>350</v>
      </c>
      <c r="X29" s="178">
        <f>IFERROR($J$8/(W29*$C$6),"")</f>
        <v>76.7142857142857</v>
      </c>
      <c r="Y29" s="191">
        <f t="shared" si="28"/>
        <v>0.07</v>
      </c>
      <c r="Z29" s="242"/>
      <c r="AA29" s="178"/>
      <c r="AB29" s="234" t="str">
        <f t="shared" si="24"/>
        <v/>
      </c>
      <c r="AC29" s="186"/>
      <c r="AD29" s="178"/>
      <c r="AE29" s="235" t="str">
        <f t="shared" si="29"/>
        <v/>
      </c>
    </row>
    <row r="30" ht="19" spans="1:31">
      <c r="A30" s="48"/>
      <c r="B30" s="48"/>
      <c r="C30" s="130" t="s">
        <v>62</v>
      </c>
      <c r="D30" s="134" t="s">
        <v>48</v>
      </c>
      <c r="E30" s="187">
        <f t="shared" ref="E30:E31" si="31">3500/2</f>
        <v>1750</v>
      </c>
      <c r="F30" s="178">
        <f>IFERROR(($J$7)/(E30*$C$6),"")</f>
        <v>14.7428571428571</v>
      </c>
      <c r="G30" s="179">
        <f t="shared" si="30"/>
        <v>0.0134525139664804</v>
      </c>
      <c r="H30" s="187">
        <f t="shared" ref="H30:H31" si="32">3500/2</f>
        <v>1750</v>
      </c>
      <c r="I30" s="178">
        <f>IFERROR(($J$7)/(H30*$C$6),"")</f>
        <v>14.7428571428571</v>
      </c>
      <c r="J30" s="179">
        <f t="shared" si="26"/>
        <v>0.0134525139664804</v>
      </c>
      <c r="K30" s="180"/>
      <c r="L30" s="178"/>
      <c r="M30" s="234"/>
      <c r="N30" s="180"/>
      <c r="O30" s="178"/>
      <c r="P30" s="179"/>
      <c r="Q30" s="180"/>
      <c r="R30" s="178"/>
      <c r="S30" s="179"/>
      <c r="T30" s="180"/>
      <c r="U30" s="178"/>
      <c r="V30" s="179"/>
      <c r="W30" s="180">
        <f>40*130/2</f>
        <v>2600</v>
      </c>
      <c r="X30" s="178">
        <f>IFERROR(($J$7)/(W30*$C$6),"")</f>
        <v>9.92307692307692</v>
      </c>
      <c r="Y30" s="191">
        <f t="shared" si="28"/>
        <v>0.00905457670820799</v>
      </c>
      <c r="Z30" s="180"/>
      <c r="AA30" s="178"/>
      <c r="AB30" s="179"/>
      <c r="AC30" s="180"/>
      <c r="AD30" s="178"/>
      <c r="AE30" s="235"/>
    </row>
    <row r="31" ht="19" spans="1:31">
      <c r="A31" s="48"/>
      <c r="B31" s="48"/>
      <c r="C31" s="130" t="s">
        <v>63</v>
      </c>
      <c r="D31" s="134" t="s">
        <v>61</v>
      </c>
      <c r="E31" s="187">
        <f t="shared" si="31"/>
        <v>1750</v>
      </c>
      <c r="F31" s="178">
        <f>IFERROR(($J$8)/(E31*$C$6),"")</f>
        <v>15.3428571428571</v>
      </c>
      <c r="G31" s="179">
        <f t="shared" si="30"/>
        <v>0.014</v>
      </c>
      <c r="H31" s="187">
        <f t="shared" si="32"/>
        <v>1750</v>
      </c>
      <c r="I31" s="178">
        <f>IFERROR(($J$8)/(H31*$C$6),"")</f>
        <v>15.3428571428571</v>
      </c>
      <c r="J31" s="179">
        <f t="shared" si="26"/>
        <v>0.014</v>
      </c>
      <c r="K31" s="180"/>
      <c r="L31" s="178"/>
      <c r="M31" s="234"/>
      <c r="N31" s="180"/>
      <c r="O31" s="178"/>
      <c r="P31" s="179"/>
      <c r="Q31" s="180"/>
      <c r="R31" s="178"/>
      <c r="S31" s="179"/>
      <c r="T31" s="180"/>
      <c r="U31" s="178"/>
      <c r="V31" s="179"/>
      <c r="W31" s="180"/>
      <c r="X31" s="178"/>
      <c r="Y31" s="191"/>
      <c r="Z31" s="180"/>
      <c r="AA31" s="178"/>
      <c r="AB31" s="179"/>
      <c r="AC31" s="180"/>
      <c r="AD31" s="178"/>
      <c r="AE31" s="235"/>
    </row>
    <row r="32" ht="19" spans="1:31">
      <c r="A32" s="48"/>
      <c r="B32" s="48"/>
      <c r="C32" s="130" t="s">
        <v>64</v>
      </c>
      <c r="D32" s="134" t="s">
        <v>65</v>
      </c>
      <c r="E32" s="188"/>
      <c r="F32" s="189"/>
      <c r="G32" s="190"/>
      <c r="H32" s="187"/>
      <c r="I32" s="178"/>
      <c r="J32" s="179" t="str">
        <f t="shared" si="26"/>
        <v/>
      </c>
      <c r="K32" s="180">
        <v>1820</v>
      </c>
      <c r="L32" s="178">
        <f>IFERROR(($J$7+(1-$J$9)*$J$8)/(K32*$C$6),"")</f>
        <v>19.6018374039522</v>
      </c>
      <c r="M32" s="179">
        <f>IF(L32*$C$6*$C$4/$J$8=0,"",L32*$C$6*$C$4/$J$8)</f>
        <v>0.017886220349975</v>
      </c>
      <c r="N32" s="180">
        <f>K32</f>
        <v>1820</v>
      </c>
      <c r="O32" s="178">
        <f>IFERROR(($J$7+(1-$J$9)*$J$8)/(N32*$C$6),"")</f>
        <v>19.6018374039522</v>
      </c>
      <c r="P32" s="179">
        <f>IF(O32*$C$6*$C$4/$J$8=0,"",O32*$C$6*$C$4/$J$8)</f>
        <v>0.017886220349975</v>
      </c>
      <c r="Q32" s="180">
        <f>K32</f>
        <v>1820</v>
      </c>
      <c r="R32" s="178">
        <f>IFERROR(($J$7+(1-$J$9)*$J$8)/(Q32*$C$6),"")</f>
        <v>19.6018374039522</v>
      </c>
      <c r="S32" s="179">
        <f>IF(R32*$C$6*$C$4/$J$8=0,"",R32*$C$6*$C$4/$J$8)</f>
        <v>0.017886220349975</v>
      </c>
      <c r="T32" s="180">
        <f>K32</f>
        <v>1820</v>
      </c>
      <c r="U32" s="178">
        <f>IFERROR(($J$7+(1-$J$9)*$J$8)/(T32*$C$6),"")</f>
        <v>19.6018374039522</v>
      </c>
      <c r="V32" s="179">
        <f>IF(U32*$C$6*$C$4/$J$8=0,"",U32*$C$6*$C$4/$J$8)</f>
        <v>0.017886220349975</v>
      </c>
      <c r="W32" s="180"/>
      <c r="X32" s="178"/>
      <c r="Y32" s="191" t="str">
        <f t="shared" ref="Y32:Y41" si="33">IF(X32*$C$6*$C$4/$J$8=0,"",X32*$C$6*$C$4/$J$8)</f>
        <v/>
      </c>
      <c r="Z32" s="180">
        <f>K32</f>
        <v>1820</v>
      </c>
      <c r="AA32" s="178">
        <f>IFERROR(($J$7+(1-$J$9)*$J$8)/(Z32*$C$6),"")</f>
        <v>19.6018374039522</v>
      </c>
      <c r="AB32" s="179">
        <f>IF(AA32*$C$6*$C$4/$J$8=0,"",AA32*$C$6*$C$4/$J$8)</f>
        <v>0.017886220349975</v>
      </c>
      <c r="AC32" s="180">
        <f>K32</f>
        <v>1820</v>
      </c>
      <c r="AD32" s="178">
        <f>IFERROR(($J$7+(1-$J$9)*$J$8)/(AC32*$C$6),"")</f>
        <v>19.6018374039522</v>
      </c>
      <c r="AE32" s="191">
        <f>IF(AD32*$C$6*$C$4/$J$8=0,"",AD32*$C$6*$C$4/$J$8)</f>
        <v>0.017886220349975</v>
      </c>
    </row>
    <row r="33" ht="15.2" spans="1:31">
      <c r="A33" s="48"/>
      <c r="B33" s="48"/>
      <c r="C33" s="130" t="s">
        <v>124</v>
      </c>
      <c r="D33" s="134" t="s">
        <v>61</v>
      </c>
      <c r="E33" s="180">
        <f>240*30/6</f>
        <v>1200</v>
      </c>
      <c r="F33" s="178">
        <f>IFERROR($J$8/(E33*$C$6),"")</f>
        <v>22.375</v>
      </c>
      <c r="G33" s="191">
        <f>IF(F33*$C$6*$C$4/$J$8=0,"",F33*$C$6*$C$4/$J$8)</f>
        <v>0.0204166666666667</v>
      </c>
      <c r="H33" s="180">
        <f>240*30/6</f>
        <v>1200</v>
      </c>
      <c r="I33" s="178">
        <f>IFERROR($J$8/(H33*$C$6),"")</f>
        <v>22.375</v>
      </c>
      <c r="J33" s="191">
        <f t="shared" si="26"/>
        <v>0.0204166666666667</v>
      </c>
      <c r="K33" s="180"/>
      <c r="L33" s="178"/>
      <c r="M33" s="234"/>
      <c r="N33" s="180"/>
      <c r="O33" s="178"/>
      <c r="P33" s="179"/>
      <c r="Q33" s="180"/>
      <c r="R33" s="178"/>
      <c r="S33" s="179"/>
      <c r="T33" s="180"/>
      <c r="U33" s="178"/>
      <c r="V33" s="179"/>
      <c r="W33" s="180">
        <f>240*30/6</f>
        <v>1200</v>
      </c>
      <c r="X33" s="178">
        <f>IFERROR($J$8/(W33*$C$6),"")</f>
        <v>22.375</v>
      </c>
      <c r="Y33" s="191">
        <f t="shared" si="33"/>
        <v>0.0204166666666667</v>
      </c>
      <c r="Z33" s="180"/>
      <c r="AA33" s="178"/>
      <c r="AB33" s="179"/>
      <c r="AC33" s="180"/>
      <c r="AD33" s="178"/>
      <c r="AE33" s="191"/>
    </row>
    <row r="34" ht="19" spans="1:31">
      <c r="A34" s="48"/>
      <c r="B34" s="49"/>
      <c r="C34" s="130" t="s">
        <v>66</v>
      </c>
      <c r="D34" s="134" t="s">
        <v>61</v>
      </c>
      <c r="E34" s="192"/>
      <c r="F34" s="178"/>
      <c r="G34" s="193"/>
      <c r="H34" s="194"/>
      <c r="I34" s="178"/>
      <c r="J34" s="179" t="str">
        <f t="shared" si="26"/>
        <v/>
      </c>
      <c r="K34" s="180">
        <v>1800</v>
      </c>
      <c r="L34" s="178">
        <f t="shared" ref="L34:L36" si="34">IFERROR($J$8/(K34*$C$6),"")</f>
        <v>14.9166666666667</v>
      </c>
      <c r="M34" s="179">
        <f t="shared" ref="M34:M38" si="35">IF(L34*$C$6*$C$4/$J$8=0,"",L34*$C$6*$C$4/$J$8)</f>
        <v>0.0136111111111111</v>
      </c>
      <c r="N34" s="180">
        <f>K34</f>
        <v>1800</v>
      </c>
      <c r="O34" s="178">
        <f t="shared" ref="O34:O36" si="36">IFERROR($J$8/(N34*$C$6),"")</f>
        <v>14.9166666666667</v>
      </c>
      <c r="P34" s="179">
        <f t="shared" ref="P34:P41" si="37">IF(O34*$C$6*$C$4/$J$8=0,"",O34*$C$6*$C$4/$J$8)</f>
        <v>0.0136111111111111</v>
      </c>
      <c r="Q34" s="180">
        <f>K34</f>
        <v>1800</v>
      </c>
      <c r="R34" s="178">
        <f t="shared" ref="R34:R36" si="38">IFERROR($J$8/(Q34*$C$6),"")</f>
        <v>14.9166666666667</v>
      </c>
      <c r="S34" s="179">
        <f t="shared" ref="S34:S41" si="39">IF(R34*$C$6*$C$4/$J$8=0,"",R34*$C$6*$C$4/$J$8)</f>
        <v>0.0136111111111111</v>
      </c>
      <c r="T34" s="180">
        <f>K34</f>
        <v>1800</v>
      </c>
      <c r="U34" s="178">
        <f t="shared" ref="U34:U36" si="40">IFERROR($J$8/(T34*$C$6),"")</f>
        <v>14.9166666666667</v>
      </c>
      <c r="V34" s="179">
        <f t="shared" ref="V34:V41" si="41">IF(U34*$C$6*$C$4/$J$8=0,"",U34*$C$6*$C$4/$J$8)</f>
        <v>0.0136111111111111</v>
      </c>
      <c r="W34" s="180"/>
      <c r="X34" s="178"/>
      <c r="Y34" s="191" t="str">
        <f t="shared" si="33"/>
        <v/>
      </c>
      <c r="Z34" s="180">
        <f>K34</f>
        <v>1800</v>
      </c>
      <c r="AA34" s="178">
        <f t="shared" ref="AA34:AA36" si="42">IFERROR($J$8/(Z34*$C$6),"")</f>
        <v>14.9166666666667</v>
      </c>
      <c r="AB34" s="179">
        <f t="shared" ref="AB34:AB41" si="43">IF(AA34*$C$6*$C$4/$J$8=0,"",AA34*$C$6*$C$4/$J$8)</f>
        <v>0.0136111111111111</v>
      </c>
      <c r="AC34" s="180">
        <v>1800</v>
      </c>
      <c r="AD34" s="178">
        <f t="shared" ref="AD34:AD36" si="44">IFERROR($J$8/(AC34*$C$6),"")</f>
        <v>14.9166666666667</v>
      </c>
      <c r="AE34" s="191">
        <f t="shared" ref="AE34:AE41" si="45">IF(AD34*$C$6*$C$4/$J$8=0,"",AD34*$C$6*$C$4/$J$8)</f>
        <v>0.0136111111111111</v>
      </c>
    </row>
    <row r="35" ht="19" spans="1:31">
      <c r="A35" s="48"/>
      <c r="B35" s="136" t="s">
        <v>67</v>
      </c>
      <c r="C35" s="130" t="s">
        <v>68</v>
      </c>
      <c r="D35" s="133" t="s">
        <v>61</v>
      </c>
      <c r="E35" s="180">
        <v>2400</v>
      </c>
      <c r="F35" s="178">
        <f t="shared" ref="F35:F36" si="46">IFERROR($J$8/(E35*$C$6),"")</f>
        <v>11.1875</v>
      </c>
      <c r="G35" s="179">
        <f t="shared" ref="G35:G38" si="47">IF(F35*$C$6*$C$4/$J$8=0,"",F35*$C$6*$C$4/$J$8)</f>
        <v>0.0102083333333333</v>
      </c>
      <c r="H35" s="180">
        <f>$E$35</f>
        <v>2400</v>
      </c>
      <c r="I35" s="178">
        <f t="shared" ref="I35:I36" si="48">IFERROR($J$8/(H35*$C$6),"")</f>
        <v>11.1875</v>
      </c>
      <c r="J35" s="179">
        <f t="shared" si="26"/>
        <v>0.0102083333333333</v>
      </c>
      <c r="K35" s="180">
        <f>$E$35</f>
        <v>2400</v>
      </c>
      <c r="L35" s="178">
        <f t="shared" si="34"/>
        <v>11.1875</v>
      </c>
      <c r="M35" s="179">
        <f t="shared" si="35"/>
        <v>0.0102083333333333</v>
      </c>
      <c r="N35" s="180">
        <f>$E$35</f>
        <v>2400</v>
      </c>
      <c r="O35" s="178">
        <f t="shared" si="36"/>
        <v>11.1875</v>
      </c>
      <c r="P35" s="191">
        <f t="shared" si="37"/>
        <v>0.0102083333333333</v>
      </c>
      <c r="Q35" s="180">
        <f>$E$35</f>
        <v>2400</v>
      </c>
      <c r="R35" s="178">
        <f t="shared" si="38"/>
        <v>11.1875</v>
      </c>
      <c r="S35" s="179">
        <f t="shared" si="39"/>
        <v>0.0102083333333333</v>
      </c>
      <c r="T35" s="180">
        <f>$E$35</f>
        <v>2400</v>
      </c>
      <c r="U35" s="178">
        <f t="shared" si="40"/>
        <v>11.1875</v>
      </c>
      <c r="V35" s="179">
        <f t="shared" si="41"/>
        <v>0.0102083333333333</v>
      </c>
      <c r="W35" s="180">
        <f>$E$35</f>
        <v>2400</v>
      </c>
      <c r="X35" s="178">
        <f t="shared" ref="X35:X36" si="49">IFERROR($J$8/(W35*$C$6),"")</f>
        <v>11.1875</v>
      </c>
      <c r="Y35" s="191">
        <f t="shared" si="33"/>
        <v>0.0102083333333333</v>
      </c>
      <c r="Z35" s="180">
        <f>$E$35</f>
        <v>2400</v>
      </c>
      <c r="AA35" s="178">
        <f t="shared" si="42"/>
        <v>11.1875</v>
      </c>
      <c r="AB35" s="179">
        <f t="shared" si="43"/>
        <v>0.0102083333333333</v>
      </c>
      <c r="AC35" s="180">
        <f>$E$35</f>
        <v>2400</v>
      </c>
      <c r="AD35" s="178">
        <f t="shared" si="44"/>
        <v>11.1875</v>
      </c>
      <c r="AE35" s="191">
        <f t="shared" si="45"/>
        <v>0.0102083333333333</v>
      </c>
    </row>
    <row r="36" ht="15.2" spans="1:31">
      <c r="A36" s="48"/>
      <c r="B36" s="49"/>
      <c r="C36" s="132" t="s">
        <v>69</v>
      </c>
      <c r="D36" s="131" t="s">
        <v>61</v>
      </c>
      <c r="E36" s="180">
        <v>1800</v>
      </c>
      <c r="F36" s="178">
        <f t="shared" si="46"/>
        <v>14.9166666666667</v>
      </c>
      <c r="G36" s="179">
        <f t="shared" si="47"/>
        <v>0.0136111111111111</v>
      </c>
      <c r="H36" s="180">
        <f>$E$36</f>
        <v>1800</v>
      </c>
      <c r="I36" s="178">
        <f t="shared" si="48"/>
        <v>14.9166666666667</v>
      </c>
      <c r="J36" s="179">
        <f t="shared" si="26"/>
        <v>0.0136111111111111</v>
      </c>
      <c r="K36" s="180">
        <f>$E$36</f>
        <v>1800</v>
      </c>
      <c r="L36" s="178">
        <f t="shared" si="34"/>
        <v>14.9166666666667</v>
      </c>
      <c r="M36" s="179">
        <f t="shared" si="35"/>
        <v>0.0136111111111111</v>
      </c>
      <c r="N36" s="180">
        <f>$E$36</f>
        <v>1800</v>
      </c>
      <c r="O36" s="178">
        <f t="shared" si="36"/>
        <v>14.9166666666667</v>
      </c>
      <c r="P36" s="191">
        <f t="shared" si="37"/>
        <v>0.0136111111111111</v>
      </c>
      <c r="Q36" s="180">
        <f>$E$36</f>
        <v>1800</v>
      </c>
      <c r="R36" s="178">
        <f t="shared" si="38"/>
        <v>14.9166666666667</v>
      </c>
      <c r="S36" s="179">
        <f t="shared" si="39"/>
        <v>0.0136111111111111</v>
      </c>
      <c r="T36" s="180">
        <f>$E$36</f>
        <v>1800</v>
      </c>
      <c r="U36" s="178">
        <f t="shared" si="40"/>
        <v>14.9166666666667</v>
      </c>
      <c r="V36" s="179">
        <f t="shared" si="41"/>
        <v>0.0136111111111111</v>
      </c>
      <c r="W36" s="180">
        <f>$E$36</f>
        <v>1800</v>
      </c>
      <c r="X36" s="178">
        <f t="shared" si="49"/>
        <v>14.9166666666667</v>
      </c>
      <c r="Y36" s="191">
        <f t="shared" si="33"/>
        <v>0.0136111111111111</v>
      </c>
      <c r="Z36" s="180">
        <f>$E$36</f>
        <v>1800</v>
      </c>
      <c r="AA36" s="178">
        <f t="shared" si="42"/>
        <v>14.9166666666667</v>
      </c>
      <c r="AB36" s="179">
        <f t="shared" si="43"/>
        <v>0.0136111111111111</v>
      </c>
      <c r="AC36" s="180">
        <f>$E$36</f>
        <v>1800</v>
      </c>
      <c r="AD36" s="178">
        <f t="shared" si="44"/>
        <v>14.9166666666667</v>
      </c>
      <c r="AE36" s="191">
        <f t="shared" si="45"/>
        <v>0.0136111111111111</v>
      </c>
    </row>
    <row r="37" ht="15.2" spans="1:31">
      <c r="A37" s="48"/>
      <c r="B37" s="94" t="s">
        <v>70</v>
      </c>
      <c r="C37" s="42"/>
      <c r="D37" s="137" t="s">
        <v>48</v>
      </c>
      <c r="E37" s="180">
        <v>60</v>
      </c>
      <c r="F37" s="178">
        <f>IFERROR(($J$7*E14)/(E37*$C$6),"")</f>
        <v>8.6</v>
      </c>
      <c r="G37" s="179">
        <f t="shared" si="47"/>
        <v>0.00784729981378026</v>
      </c>
      <c r="H37" s="180">
        <v>60</v>
      </c>
      <c r="I37" s="178">
        <f>IFERROR(($J$7*H14)/(H37*$C$6),"")</f>
        <v>43</v>
      </c>
      <c r="J37" s="179">
        <f t="shared" si="26"/>
        <v>0.0392364990689013</v>
      </c>
      <c r="K37" s="180">
        <v>60</v>
      </c>
      <c r="L37" s="178">
        <f>IFERROR(($J$7*K14)/(K37*$C$6),"")</f>
        <v>21.5</v>
      </c>
      <c r="M37" s="179">
        <f t="shared" si="35"/>
        <v>0.0196182495344507</v>
      </c>
      <c r="N37" s="180">
        <v>60</v>
      </c>
      <c r="O37" s="178">
        <f>IFERROR(($J$7*N14)/(N37*$C$6),"")</f>
        <v>21.5</v>
      </c>
      <c r="P37" s="191">
        <f t="shared" si="37"/>
        <v>0.0196182495344507</v>
      </c>
      <c r="Q37" s="180">
        <v>60</v>
      </c>
      <c r="R37" s="178">
        <f>IFERROR(($J$7*Q14)/(Q37*$C$6),"")</f>
        <v>21.5</v>
      </c>
      <c r="S37" s="179">
        <f t="shared" si="39"/>
        <v>0.0196182495344507</v>
      </c>
      <c r="T37" s="180">
        <v>60</v>
      </c>
      <c r="U37" s="178">
        <f>IFERROR(($J$7*T14)/(T37*$C$6),"")</f>
        <v>21.5</v>
      </c>
      <c r="V37" s="179">
        <f t="shared" si="41"/>
        <v>0.0196182495344507</v>
      </c>
      <c r="W37" s="180">
        <v>60</v>
      </c>
      <c r="X37" s="178">
        <f>IFERROR(($J$7*W14)/(W37*$C$6),"")</f>
        <v>21.5</v>
      </c>
      <c r="Y37" s="191">
        <f t="shared" si="33"/>
        <v>0.0196182495344507</v>
      </c>
      <c r="Z37" s="180">
        <v>60</v>
      </c>
      <c r="AA37" s="178">
        <f>IFERROR(($J$7*Z14)/(Z37*$C$6),"")</f>
        <v>21.5</v>
      </c>
      <c r="AB37" s="179">
        <f t="shared" si="43"/>
        <v>0.0196182495344507</v>
      </c>
      <c r="AC37" s="180">
        <v>60</v>
      </c>
      <c r="AD37" s="178">
        <f>IFERROR(($J$7*AC14)/(AC37*$C$6),"")</f>
        <v>21.5</v>
      </c>
      <c r="AE37" s="191">
        <f t="shared" si="45"/>
        <v>0.0196182495344507</v>
      </c>
    </row>
    <row r="38" ht="15.2" spans="1:31">
      <c r="A38" s="48"/>
      <c r="B38" s="94" t="s">
        <v>71</v>
      </c>
      <c r="C38" s="42"/>
      <c r="D38" s="137" t="s">
        <v>72</v>
      </c>
      <c r="E38" s="195" t="s">
        <v>73</v>
      </c>
      <c r="F38" s="196">
        <v>9</v>
      </c>
      <c r="G38" s="197">
        <f t="shared" si="47"/>
        <v>0.0082122905027933</v>
      </c>
      <c r="H38" s="198" t="s">
        <v>73</v>
      </c>
      <c r="I38" s="184">
        <v>9</v>
      </c>
      <c r="J38" s="179">
        <f t="shared" si="26"/>
        <v>0.0082122905027933</v>
      </c>
      <c r="K38" s="198" t="s">
        <v>73</v>
      </c>
      <c r="L38" s="184">
        <v>9</v>
      </c>
      <c r="M38" s="179">
        <f t="shared" si="35"/>
        <v>0.0082122905027933</v>
      </c>
      <c r="N38" s="198" t="s">
        <v>73</v>
      </c>
      <c r="O38" s="184">
        <v>9</v>
      </c>
      <c r="P38" s="191">
        <f t="shared" si="37"/>
        <v>0.0082122905027933</v>
      </c>
      <c r="Q38" s="243" t="s">
        <v>73</v>
      </c>
      <c r="R38" s="184">
        <v>9</v>
      </c>
      <c r="S38" s="179">
        <f t="shared" si="39"/>
        <v>0.0082122905027933</v>
      </c>
      <c r="T38" s="198" t="s">
        <v>73</v>
      </c>
      <c r="U38" s="184">
        <v>9</v>
      </c>
      <c r="V38" s="179">
        <f t="shared" si="41"/>
        <v>0.0082122905027933</v>
      </c>
      <c r="W38" s="198" t="s">
        <v>73</v>
      </c>
      <c r="X38" s="184">
        <v>9</v>
      </c>
      <c r="Y38" s="191">
        <f t="shared" si="33"/>
        <v>0.0082122905027933</v>
      </c>
      <c r="Z38" s="243" t="s">
        <v>73</v>
      </c>
      <c r="AA38" s="184">
        <v>9</v>
      </c>
      <c r="AB38" s="179">
        <f t="shared" si="43"/>
        <v>0.0082122905027933</v>
      </c>
      <c r="AC38" s="198" t="s">
        <v>73</v>
      </c>
      <c r="AD38" s="184">
        <v>9</v>
      </c>
      <c r="AE38" s="191">
        <f t="shared" si="45"/>
        <v>0.0082122905027933</v>
      </c>
    </row>
    <row r="39" ht="15.2" spans="1:31">
      <c r="A39" s="48"/>
      <c r="B39" s="83" t="s">
        <v>74</v>
      </c>
      <c r="C39" s="41"/>
      <c r="D39" s="138">
        <v>0.15</v>
      </c>
      <c r="E39" s="199"/>
      <c r="F39" s="200"/>
      <c r="G39" s="201"/>
      <c r="H39" s="199"/>
      <c r="I39" s="200"/>
      <c r="J39" s="201"/>
      <c r="K39" s="199"/>
      <c r="L39" s="200"/>
      <c r="M39" s="201"/>
      <c r="N39" s="199"/>
      <c r="O39" s="237">
        <f>ROUNDUP(SUM(O19:O38)*$D$39,0)</f>
        <v>22</v>
      </c>
      <c r="P39" s="191">
        <f t="shared" si="37"/>
        <v>0.020074487895717</v>
      </c>
      <c r="Q39" s="199"/>
      <c r="R39" s="237">
        <f>ROUNDUP(SUM(R19:R38)*$D$39,0)</f>
        <v>25</v>
      </c>
      <c r="S39" s="179">
        <f t="shared" si="39"/>
        <v>0.0228119180633147</v>
      </c>
      <c r="T39" s="199"/>
      <c r="U39" s="237">
        <f>ROUNDUP(SUM(U19:U38)*$D$39,0)</f>
        <v>22</v>
      </c>
      <c r="V39" s="179">
        <f t="shared" si="41"/>
        <v>0.020074487895717</v>
      </c>
      <c r="W39" s="199"/>
      <c r="X39" s="237">
        <f>ROUNDUP(SUM(X19:X38)*$D$39,0)</f>
        <v>31</v>
      </c>
      <c r="Y39" s="191">
        <f t="shared" si="33"/>
        <v>0.0282867783985102</v>
      </c>
      <c r="Z39" s="199"/>
      <c r="AA39" s="237">
        <f>ROUNDUP(SUM(AA19:AA38)*$D$39,0)</f>
        <v>22</v>
      </c>
      <c r="AB39" s="179">
        <f t="shared" si="43"/>
        <v>0.020074487895717</v>
      </c>
      <c r="AC39" s="199"/>
      <c r="AD39" s="237">
        <f>ROUNDUP(SUM(AD19:AD38)*$D$39,0)</f>
        <v>27</v>
      </c>
      <c r="AE39" s="191">
        <f t="shared" si="45"/>
        <v>0.0246368715083799</v>
      </c>
    </row>
    <row r="40" ht="15.2" spans="1:31">
      <c r="A40" s="48"/>
      <c r="B40" s="95" t="s">
        <v>75</v>
      </c>
      <c r="C40" s="58"/>
      <c r="D40" s="137" t="s">
        <v>76</v>
      </c>
      <c r="E40" s="198" t="s">
        <v>73</v>
      </c>
      <c r="F40" s="202">
        <f>SUM(F19:F39)*0.5/7</f>
        <v>18.03235673489</v>
      </c>
      <c r="G40" s="203">
        <f>IF(F40*$C$6*$C$4/$J$8=0,"",F40*$C$6*$C$4/$J$8)</f>
        <v>0.0164541057729909</v>
      </c>
      <c r="H40" s="198" t="s">
        <v>73</v>
      </c>
      <c r="I40" s="226">
        <f>SUM(I19:I39)*0.5/7</f>
        <v>17.8568465308084</v>
      </c>
      <c r="J40" s="179">
        <f t="shared" ref="J40:J41" si="50">IF(I40*$C$6*$C$4/$J$8=0,"",I40*$C$6*$C$4/$J$8)</f>
        <v>0.0162939567971995</v>
      </c>
      <c r="K40" s="198" t="s">
        <v>73</v>
      </c>
      <c r="L40" s="226">
        <f>SUM(L19:L39)*0.5/7</f>
        <v>11.105872331771</v>
      </c>
      <c r="M40" s="179">
        <f t="shared" ref="M40:M41" si="51">IF(L40*$C$6*$C$4/$J$8=0,"",L40*$C$6*$C$4/$J$8)</f>
        <v>0.0101338499861597</v>
      </c>
      <c r="N40" s="198" t="s">
        <v>73</v>
      </c>
      <c r="O40" s="226">
        <f>SUM(O19:O39)*0.5/7</f>
        <v>11.8875049848322</v>
      </c>
      <c r="P40" s="191">
        <f t="shared" si="37"/>
        <v>0.0108470715876495</v>
      </c>
      <c r="Q40" s="198" t="s">
        <v>73</v>
      </c>
      <c r="R40" s="226">
        <f>SUM(R19:R39)*0.5/7</f>
        <v>13.2589335562607</v>
      </c>
      <c r="S40" s="179">
        <f t="shared" si="39"/>
        <v>0.0120984682356942</v>
      </c>
      <c r="T40" s="198" t="s">
        <v>73</v>
      </c>
      <c r="U40" s="226">
        <f>SUM(U19:U39)*0.5/7</f>
        <v>11.8875049848322</v>
      </c>
      <c r="V40" s="179">
        <f t="shared" si="41"/>
        <v>0.0108470715876495</v>
      </c>
      <c r="W40" s="198" t="s">
        <v>73</v>
      </c>
      <c r="X40" s="226">
        <f>SUM(X19:X39)*0.5/7</f>
        <v>16.6902060284536</v>
      </c>
      <c r="Y40" s="191">
        <f t="shared" si="33"/>
        <v>0.015229424495237</v>
      </c>
      <c r="Z40" s="198" t="s">
        <v>73</v>
      </c>
      <c r="AA40" s="226">
        <f>SUM(AA19:AA39)*0.5/7</f>
        <v>11.5982192705465</v>
      </c>
      <c r="AB40" s="179">
        <f t="shared" si="43"/>
        <v>0.0105831051072025</v>
      </c>
      <c r="AC40" s="198" t="s">
        <v>73</v>
      </c>
      <c r="AD40" s="226">
        <f>SUM(AD19:AD39)*0.5/7</f>
        <v>14.6415866174852</v>
      </c>
      <c r="AE40" s="238">
        <f t="shared" si="45"/>
        <v>0.0133601069693999</v>
      </c>
    </row>
    <row r="41" ht="15.95" spans="1:31">
      <c r="A41" s="48"/>
      <c r="B41" s="95" t="s">
        <v>77</v>
      </c>
      <c r="C41" s="58"/>
      <c r="D41" s="139" t="s">
        <v>78</v>
      </c>
      <c r="E41" s="204"/>
      <c r="F41" s="205"/>
      <c r="G41" s="205"/>
      <c r="H41" s="205"/>
      <c r="I41" s="205">
        <f>SUM(I19:I39)*H13</f>
        <v>24.9995851431317</v>
      </c>
      <c r="J41" s="197">
        <f t="shared" si="50"/>
        <v>0.0228115395160792</v>
      </c>
      <c r="K41" s="205"/>
      <c r="L41" s="205">
        <f>SUM(L19:L39)*K13</f>
        <v>7.77411063223967</v>
      </c>
      <c r="M41" s="238">
        <f t="shared" si="51"/>
        <v>0.0070936949903118</v>
      </c>
      <c r="N41" s="205"/>
      <c r="O41" s="205">
        <f>SUM(O19:O39)*N13</f>
        <v>8.32125348938253</v>
      </c>
      <c r="P41" s="238">
        <f t="shared" si="37"/>
        <v>0.00759295011135463</v>
      </c>
      <c r="Q41" s="205"/>
      <c r="R41" s="205">
        <f>SUM(R19:R39)*Q13</f>
        <v>9.28125348938253</v>
      </c>
      <c r="S41" s="238">
        <f t="shared" si="39"/>
        <v>0.00846892776498592</v>
      </c>
      <c r="T41" s="205"/>
      <c r="U41" s="205">
        <f>SUM(U19:U39)*T13</f>
        <v>8.32125348938253</v>
      </c>
      <c r="V41" s="238">
        <f t="shared" si="41"/>
        <v>0.00759295011135463</v>
      </c>
      <c r="W41" s="205"/>
      <c r="X41" s="205">
        <f>SUM(X19:X39)*W13</f>
        <v>11.6831442199175</v>
      </c>
      <c r="Y41" s="238">
        <f t="shared" si="33"/>
        <v>0.0106605971466659</v>
      </c>
      <c r="Z41" s="205"/>
      <c r="AA41" s="205">
        <f>SUM(AA19:AA39)*Z13</f>
        <v>8.11875348938253</v>
      </c>
      <c r="AB41" s="238">
        <f t="shared" si="43"/>
        <v>0.00740817357504178</v>
      </c>
      <c r="AC41" s="205"/>
      <c r="AD41" s="205">
        <f>SUM(AD19:AD39)*AC13</f>
        <v>10.2491106322397</v>
      </c>
      <c r="AE41" s="238">
        <f t="shared" si="45"/>
        <v>0.00935207487857996</v>
      </c>
    </row>
    <row r="42" ht="15.95" spans="1:31">
      <c r="A42" s="48"/>
      <c r="B42" s="140" t="s">
        <v>79</v>
      </c>
      <c r="C42" s="117"/>
      <c r="D42" s="141"/>
      <c r="E42" s="206">
        <f>$J$8/(F42*$C$6)</f>
        <v>99.2660042343</v>
      </c>
      <c r="F42" s="207">
        <f t="shared" ref="F42:G42" si="52">SUM(F19:F41)</f>
        <v>270.48535102335</v>
      </c>
      <c r="G42" s="208" t="e">
        <f t="shared" si="52"/>
        <v>#VALUE!</v>
      </c>
      <c r="H42" s="206">
        <f>$J$8/(I42*$C$6)</f>
        <v>91.6844482661914</v>
      </c>
      <c r="I42" s="207">
        <f t="shared" ref="I42:J42" si="53">SUM(I19:I41)</f>
        <v>292.852283105257</v>
      </c>
      <c r="J42" s="208" t="e">
        <f t="shared" si="53"/>
        <v>#VALUE!</v>
      </c>
      <c r="K42" s="206">
        <f>$J$8/(L42*$C$6)</f>
        <v>153.989802125687</v>
      </c>
      <c r="L42" s="207">
        <f t="shared" ref="L42:M42" si="54">SUM(L19:L41)</f>
        <v>174.362195608804</v>
      </c>
      <c r="M42" s="208" t="e">
        <f t="shared" si="54"/>
        <v>#VALUE!</v>
      </c>
      <c r="N42" s="206">
        <f>$J$8/(O42*$C$6)</f>
        <v>143.864594377429</v>
      </c>
      <c r="O42" s="207">
        <f t="shared" ref="O42:P42" si="55">SUM(O19:O41)</f>
        <v>186.633828261865</v>
      </c>
      <c r="P42" s="208" t="e">
        <f t="shared" si="55"/>
        <v>#VALUE!</v>
      </c>
      <c r="Q42" s="206">
        <f>$J$8/(R42*$C$6)</f>
        <v>128.984060109043</v>
      </c>
      <c r="R42" s="207">
        <f t="shared" ref="R42:S42" si="56">SUM(R19:R41)</f>
        <v>208.165256833294</v>
      </c>
      <c r="S42" s="208" t="e">
        <f t="shared" si="56"/>
        <v>#VALUE!</v>
      </c>
      <c r="T42" s="206">
        <f>$J$8/(U42*$C$6)</f>
        <v>143.864594377429</v>
      </c>
      <c r="U42" s="207">
        <f t="shared" ref="U42:V42" si="57">SUM(U19:U41)</f>
        <v>186.633828261865</v>
      </c>
      <c r="V42" s="208" t="e">
        <f t="shared" si="57"/>
        <v>#VALUE!</v>
      </c>
      <c r="W42" s="206">
        <f>$J$8/(X42*$C$6)</f>
        <v>102.466744861448</v>
      </c>
      <c r="X42" s="207">
        <f t="shared" ref="X42:Y42" si="58">SUM(X19:X41)</f>
        <v>262.036234646721</v>
      </c>
      <c r="Y42" s="208" t="e">
        <f t="shared" si="58"/>
        <v>#VALUE!</v>
      </c>
      <c r="Z42" s="206">
        <f>$J$8/(AA42*$C$6)</f>
        <v>147.452901424752</v>
      </c>
      <c r="AA42" s="207">
        <f t="shared" ref="AA42:AB42" si="59">SUM(AA19:AA41)</f>
        <v>182.092042547579</v>
      </c>
      <c r="AB42" s="208" t="e">
        <f t="shared" si="59"/>
        <v>#VALUE!</v>
      </c>
      <c r="AC42" s="206">
        <f>$J$8/(AD42*$C$6)</f>
        <v>116.803672134836</v>
      </c>
      <c r="AD42" s="207">
        <f t="shared" ref="AD42:AE42" si="60">SUM(AD19:AD41)</f>
        <v>229.872909894518</v>
      </c>
      <c r="AE42" s="254" t="e">
        <f t="shared" si="60"/>
        <v>#VALUE!</v>
      </c>
    </row>
    <row r="43" ht="15.95" spans="1:31">
      <c r="A43" s="49"/>
      <c r="B43" s="95" t="s">
        <v>80</v>
      </c>
      <c r="C43" s="57"/>
      <c r="D43" s="142"/>
      <c r="E43" s="209">
        <f>$J$8*$C$9/(F43*$C$6)</f>
        <v>99.2660042343</v>
      </c>
      <c r="F43" s="210">
        <f>F42*$C$9</f>
        <v>135.242675511675</v>
      </c>
      <c r="G43" s="211">
        <f>F43*$C$6*$C$4/($J$8*$C$9)</f>
        <v>0.246811586594863</v>
      </c>
      <c r="H43" s="209">
        <f>$J$8*$C$9/(I43*$C$6)</f>
        <v>91.6844482661914</v>
      </c>
      <c r="I43" s="210">
        <f>I42*$C$9</f>
        <v>146.426141552629</v>
      </c>
      <c r="J43" s="211">
        <f>I43*$C$6*$C$4/($J$8*$C$9)</f>
        <v>0.267220891474071</v>
      </c>
      <c r="K43" s="209">
        <f>$J$8*$C$9/(L43*$C$6)</f>
        <v>153.989802125687</v>
      </c>
      <c r="L43" s="210">
        <f>L42*$C$9</f>
        <v>87.181097804402</v>
      </c>
      <c r="M43" s="211">
        <f>L43*$C$6*$C$4/($J$8*$C$9)</f>
        <v>0.159101444782708</v>
      </c>
      <c r="N43" s="209">
        <f>$J$8*$C$9/(O43*$C$6)</f>
        <v>143.864594377429</v>
      </c>
      <c r="O43" s="210">
        <f>O42*$C$9</f>
        <v>93.3169141309326</v>
      </c>
      <c r="P43" s="211">
        <f>O43*$C$6*$C$4/($J$8*$C$9)</f>
        <v>0.170299023926097</v>
      </c>
      <c r="Q43" s="209">
        <f>$J$8*$C$9/(R43*$C$6)</f>
        <v>128.984060109043</v>
      </c>
      <c r="R43" s="210">
        <f>R42*$C$9</f>
        <v>104.082628416647</v>
      </c>
      <c r="S43" s="211">
        <f>R43*$C$6*$C$4/($J$8*$C$9)</f>
        <v>0.189945951300398</v>
      </c>
      <c r="T43" s="209">
        <f>$J$8*$C$9/(U43*$C$6)</f>
        <v>143.864594377429</v>
      </c>
      <c r="U43" s="210">
        <f>U42*$C$9</f>
        <v>93.3169141309326</v>
      </c>
      <c r="V43" s="211">
        <f>U43*$C$6*$C$4/($J$8*$C$9)</f>
        <v>0.170299023926097</v>
      </c>
      <c r="W43" s="209">
        <f>$J$8*$C$9/(X43*$C$6)</f>
        <v>102.466744861448</v>
      </c>
      <c r="X43" s="210">
        <f>X42*$C$9</f>
        <v>131.018117323361</v>
      </c>
      <c r="Y43" s="250">
        <f>X43*$C$6*$C$4/($J$8*$C$9)</f>
        <v>0.239101964575221</v>
      </c>
      <c r="Z43" s="209">
        <f>$J$8*$C$9/(AA43*$C$6)</f>
        <v>147.452901424752</v>
      </c>
      <c r="AA43" s="210">
        <f>AA42*$C$9</f>
        <v>91.0460212737897</v>
      </c>
      <c r="AB43" s="211">
        <f>AA43*$C$6*$C$4/($J$8*$C$9)</f>
        <v>0.16615475018308</v>
      </c>
      <c r="AC43" s="209">
        <f>$J$8*$C$9/(AD43*$C$6)</f>
        <v>116.803672134836</v>
      </c>
      <c r="AD43" s="210">
        <f>AD42*$C$9</f>
        <v>114.936454947259</v>
      </c>
      <c r="AE43" s="250">
        <f>AD43*$C$6*$C$4/($J$8*$C$9)</f>
        <v>0.209753679419579</v>
      </c>
    </row>
    <row r="44" ht="15.95" spans="1:31">
      <c r="A44" s="126" t="s">
        <v>81</v>
      </c>
      <c r="B44" s="140" t="s">
        <v>82</v>
      </c>
      <c r="C44" s="117"/>
      <c r="D44" s="117"/>
      <c r="E44" s="212">
        <v>0</v>
      </c>
      <c r="F44" s="117"/>
      <c r="G44" s="117"/>
      <c r="H44" s="212">
        <f>22000*4</f>
        <v>88000</v>
      </c>
      <c r="I44" s="117"/>
      <c r="J44" s="117"/>
      <c r="K44" s="212">
        <f>61600</f>
        <v>61600</v>
      </c>
      <c r="L44" s="117"/>
      <c r="M44" s="118"/>
      <c r="N44" s="212">
        <v>100000</v>
      </c>
      <c r="O44" s="117"/>
      <c r="P44" s="117"/>
      <c r="Q44" s="212">
        <v>160000</v>
      </c>
      <c r="R44" s="117"/>
      <c r="S44" s="117"/>
      <c r="T44" s="212">
        <v>100000</v>
      </c>
      <c r="U44" s="117"/>
      <c r="V44" s="117"/>
      <c r="W44" s="212">
        <v>100000</v>
      </c>
      <c r="X44" s="117"/>
      <c r="Y44" s="117"/>
      <c r="Z44" s="212">
        <v>150000</v>
      </c>
      <c r="AA44" s="117"/>
      <c r="AB44" s="117"/>
      <c r="AC44" s="212">
        <v>100000</v>
      </c>
      <c r="AD44" s="117"/>
      <c r="AE44" s="161"/>
    </row>
    <row r="45" ht="15.2" spans="1:31">
      <c r="A45" s="48"/>
      <c r="B45" s="143" t="s">
        <v>83</v>
      </c>
      <c r="C45" s="144"/>
      <c r="D45" s="144"/>
      <c r="E45" s="213">
        <f>(F42*$C$8/12+F43*(12-$C$8)/12)*$C$4*$C$5*$C$7</f>
        <v>27567866.9762998</v>
      </c>
      <c r="F45" s="144"/>
      <c r="G45" s="144"/>
      <c r="H45" s="213">
        <f>(I42*$C$8/12+I43*(12-$C$8)/12)*$C$4*$C$5*$C$7</f>
        <v>29847504.6940878</v>
      </c>
      <c r="I45" s="144"/>
      <c r="J45" s="102"/>
      <c r="K45" s="213">
        <f>(L42*$C$8/12+L43*(12-$C$8)/12)*$C$4*$C$5*$C$7</f>
        <v>17770994.9764493</v>
      </c>
      <c r="L45" s="144"/>
      <c r="M45" s="102"/>
      <c r="N45" s="213">
        <f>(O42*$C$8/12+O43*(12-$C$8)/12)*$C$4*$C$5*$C$7</f>
        <v>19021719.7764493</v>
      </c>
      <c r="O45" s="144"/>
      <c r="P45" s="239"/>
      <c r="Q45" s="244">
        <f>(R42*$C$8/12+R43*(12-$C$8)/12)*$C$4*$C$5*$C$7</f>
        <v>21216202.9764493</v>
      </c>
      <c r="R45" s="144"/>
      <c r="S45" s="102"/>
      <c r="T45" s="213">
        <f>(U42*$C$8/12+U43*(12-$C$8)/12)*$C$4*$C$5*$C$7</f>
        <v>19021719.7764493</v>
      </c>
      <c r="U45" s="144"/>
      <c r="V45" s="239"/>
      <c r="W45" s="244">
        <f>(X42*$C$8/12+X43*(12-$C$8)/12)*$C$4*$C$5*$C$7</f>
        <v>26706733.0351938</v>
      </c>
      <c r="X45" s="144"/>
      <c r="Y45" s="239"/>
      <c r="Z45" s="213">
        <f>(AA42*$C$8/12+AA43*(12-$C$8)/12)*$C$4*$C$5*$C$7</f>
        <v>18558820.9764493</v>
      </c>
      <c r="AA45" s="144"/>
      <c r="AB45" s="239"/>
      <c r="AC45" s="213">
        <f>(AD42*$C$8/12+AD43*(12-$C$8)/12)*$C$4*$C$5*$C$7</f>
        <v>23428646.9764493</v>
      </c>
      <c r="AD45" s="144"/>
      <c r="AE45" s="239"/>
    </row>
    <row r="46" ht="15.2" spans="1:31">
      <c r="A46" s="48"/>
      <c r="B46" s="94" t="s">
        <v>84</v>
      </c>
      <c r="C46" s="41"/>
      <c r="D46" s="41"/>
      <c r="E46" s="214"/>
      <c r="F46" s="215"/>
      <c r="G46" s="215"/>
      <c r="H46" s="214"/>
      <c r="I46" s="215"/>
      <c r="J46" s="227"/>
      <c r="K46" s="228">
        <f>SUM(K47:M51)</f>
        <v>3065000</v>
      </c>
      <c r="L46" s="41"/>
      <c r="M46" s="42"/>
      <c r="N46" s="240">
        <f>SUM(N47:P51)</f>
        <v>5094350</v>
      </c>
      <c r="O46" s="41"/>
      <c r="P46" s="164"/>
      <c r="Q46" s="240">
        <f>SUM(Q47:S51)</f>
        <v>3136000</v>
      </c>
      <c r="R46" s="41"/>
      <c r="S46" s="164"/>
      <c r="T46" s="240">
        <f>SUM(T47:V51)</f>
        <v>4496000</v>
      </c>
      <c r="U46" s="41"/>
      <c r="V46" s="164"/>
      <c r="W46" s="228">
        <f>SUM(W47:Y51)</f>
        <v>3600000</v>
      </c>
      <c r="X46" s="41"/>
      <c r="Y46" s="164"/>
      <c r="Z46" s="240">
        <f>SUM(Z47:AB51)</f>
        <v>6052000</v>
      </c>
      <c r="AA46" s="41"/>
      <c r="AB46" s="164"/>
      <c r="AC46" s="240">
        <f>SUM(AC47:AE51)</f>
        <v>5500000</v>
      </c>
      <c r="AD46" s="41"/>
      <c r="AE46" s="164"/>
    </row>
    <row r="47" ht="15.2" outlineLevel="1" spans="1:31">
      <c r="A47" s="48"/>
      <c r="B47" s="131" t="s">
        <v>85</v>
      </c>
      <c r="C47" s="41"/>
      <c r="D47" s="41"/>
      <c r="E47" s="216"/>
      <c r="F47" s="217"/>
      <c r="G47" s="217"/>
      <c r="H47" s="218"/>
      <c r="I47" s="41"/>
      <c r="J47" s="164"/>
      <c r="K47" s="229">
        <v>2100000</v>
      </c>
      <c r="L47" s="41"/>
      <c r="M47" s="42"/>
      <c r="N47" s="218">
        <f>4313500+284350</f>
        <v>4597850</v>
      </c>
      <c r="O47" s="41"/>
      <c r="P47" s="164"/>
      <c r="Q47" s="229">
        <v>3136000</v>
      </c>
      <c r="R47" s="41"/>
      <c r="S47" s="42"/>
      <c r="T47" s="218">
        <v>3600000</v>
      </c>
      <c r="U47" s="41"/>
      <c r="V47" s="164"/>
      <c r="W47" s="229">
        <v>3600000</v>
      </c>
      <c r="X47" s="41"/>
      <c r="Y47" s="164"/>
      <c r="Z47" s="229">
        <v>4900000</v>
      </c>
      <c r="AA47" s="41"/>
      <c r="AB47" s="42"/>
      <c r="AC47" s="218">
        <v>5500000</v>
      </c>
      <c r="AD47" s="41"/>
      <c r="AE47" s="164"/>
    </row>
    <row r="48" ht="15.2" outlineLevel="1" spans="1:31">
      <c r="A48" s="48"/>
      <c r="B48" s="131" t="s">
        <v>125</v>
      </c>
      <c r="C48" s="41"/>
      <c r="D48" s="41"/>
      <c r="E48" s="216"/>
      <c r="F48" s="217"/>
      <c r="G48" s="217"/>
      <c r="H48" s="218"/>
      <c r="I48" s="41"/>
      <c r="J48" s="164"/>
      <c r="K48" s="229">
        <v>600000</v>
      </c>
      <c r="L48" s="41"/>
      <c r="M48" s="42"/>
      <c r="N48" s="218"/>
      <c r="O48" s="41"/>
      <c r="P48" s="164"/>
      <c r="Q48" s="229"/>
      <c r="R48" s="41"/>
      <c r="S48" s="42"/>
      <c r="T48" s="218"/>
      <c r="U48" s="41"/>
      <c r="V48" s="164"/>
      <c r="W48" s="229"/>
      <c r="X48" s="41"/>
      <c r="Y48" s="164"/>
      <c r="Z48" s="229"/>
      <c r="AA48" s="41"/>
      <c r="AB48" s="42"/>
      <c r="AC48" s="218"/>
      <c r="AD48" s="41"/>
      <c r="AE48" s="164"/>
    </row>
    <row r="49" ht="15.2" outlineLevel="1" spans="1:31">
      <c r="A49" s="48"/>
      <c r="B49" s="131" t="s">
        <v>87</v>
      </c>
      <c r="C49" s="41"/>
      <c r="D49" s="41"/>
      <c r="E49" s="216"/>
      <c r="F49" s="217"/>
      <c r="G49" s="217"/>
      <c r="H49" s="218"/>
      <c r="I49" s="41"/>
      <c r="J49" s="164"/>
      <c r="K49" s="229">
        <v>365000</v>
      </c>
      <c r="L49" s="41"/>
      <c r="M49" s="42"/>
      <c r="N49" s="218"/>
      <c r="O49" s="41"/>
      <c r="P49" s="164"/>
      <c r="Q49" s="229"/>
      <c r="R49" s="41"/>
      <c r="S49" s="42"/>
      <c r="T49" s="218"/>
      <c r="U49" s="41"/>
      <c r="V49" s="164"/>
      <c r="W49" s="229"/>
      <c r="X49" s="41"/>
      <c r="Y49" s="164"/>
      <c r="Z49" s="229"/>
      <c r="AA49" s="41"/>
      <c r="AB49" s="42"/>
      <c r="AC49" s="218"/>
      <c r="AD49" s="41"/>
      <c r="AE49" s="164"/>
    </row>
    <row r="50" ht="15.2" outlineLevel="1" spans="1:31">
      <c r="A50" s="48"/>
      <c r="B50" s="131" t="s">
        <v>88</v>
      </c>
      <c r="C50" s="41"/>
      <c r="D50" s="41"/>
      <c r="E50" s="216"/>
      <c r="F50" s="217"/>
      <c r="G50" s="217"/>
      <c r="H50" s="218"/>
      <c r="I50" s="41"/>
      <c r="J50" s="164"/>
      <c r="K50" s="229"/>
      <c r="L50" s="41"/>
      <c r="M50" s="42"/>
      <c r="N50" s="218">
        <f>496500</f>
        <v>496500</v>
      </c>
      <c r="O50" s="41"/>
      <c r="P50" s="164"/>
      <c r="Q50" s="218" t="s">
        <v>126</v>
      </c>
      <c r="R50" s="41"/>
      <c r="S50" s="164"/>
      <c r="T50" s="218">
        <f>112000*8</f>
        <v>896000</v>
      </c>
      <c r="U50" s="41"/>
      <c r="V50" s="164"/>
      <c r="W50" s="229"/>
      <c r="X50" s="41"/>
      <c r="Y50" s="164"/>
      <c r="Z50" s="229">
        <f>288000*4</f>
        <v>1152000</v>
      </c>
      <c r="AA50" s="41"/>
      <c r="AB50" s="42"/>
      <c r="AC50" s="218"/>
      <c r="AD50" s="41"/>
      <c r="AE50" s="164"/>
    </row>
    <row r="51" ht="15.2" outlineLevel="1" spans="1:31">
      <c r="A51" s="48"/>
      <c r="B51" s="131" t="s">
        <v>127</v>
      </c>
      <c r="C51" s="41"/>
      <c r="D51" s="41"/>
      <c r="E51" s="216"/>
      <c r="F51" s="217"/>
      <c r="G51" s="217"/>
      <c r="H51" s="218"/>
      <c r="I51" s="41"/>
      <c r="J51" s="164"/>
      <c r="K51" s="229"/>
      <c r="L51" s="41"/>
      <c r="M51" s="42"/>
      <c r="N51" s="218"/>
      <c r="O51" s="41"/>
      <c r="P51" s="164"/>
      <c r="Q51" s="229"/>
      <c r="R51" s="41"/>
      <c r="S51" s="42"/>
      <c r="T51" s="218"/>
      <c r="U51" s="41"/>
      <c r="V51" s="164"/>
      <c r="W51" s="229"/>
      <c r="X51" s="41"/>
      <c r="Y51" s="164"/>
      <c r="Z51" s="229"/>
      <c r="AA51" s="41"/>
      <c r="AB51" s="42"/>
      <c r="AC51" s="218"/>
      <c r="AD51" s="41"/>
      <c r="AE51" s="164"/>
    </row>
    <row r="52" ht="15.95" collapsed="1" spans="1:31">
      <c r="A52" s="145"/>
      <c r="B52" s="146" t="s">
        <v>89</v>
      </c>
      <c r="C52" s="122"/>
      <c r="D52" s="122"/>
      <c r="E52" s="219"/>
      <c r="F52" s="220"/>
      <c r="G52" s="220"/>
      <c r="H52" s="219"/>
      <c r="I52" s="122"/>
      <c r="J52" s="123"/>
      <c r="K52" s="230">
        <f>IF(K57&gt;K46,K46/K57,IF((K57+K58)&gt;K46,1+(K46-K57)/K58,IF((K57+K58+K59)&gt;K46,2+(K46-K57-K58)/K59,IF((K57+K58+K59+K60)&gt;K46,3+(K46-K57-K58-K59)/K60,"&gt;4 years"))))</f>
        <v>0.715163741353414</v>
      </c>
      <c r="L52" s="122"/>
      <c r="M52" s="123"/>
      <c r="N52" s="230">
        <f>IF(N57&gt;N46,N46/N57,IF((N57+N58)&gt;N46,1+(N46-N57)/N58,IF((N57+N58+N59)&gt;N46,2+(N46-N57-N58)/N59,IF((N57+N58+N59+N60)&gt;N46,3+(N46-N57-N58-N59)/N60,"&gt;4 years"))))</f>
        <v>1.30825700466891</v>
      </c>
      <c r="O52" s="122"/>
      <c r="P52" s="168"/>
      <c r="Q52" s="245">
        <f>IF(Q57&gt;Q46,Q46/Q57,IF((Q57+Q58)&gt;Q46,1+(Q46-Q57)/Q58,IF((Q57+Q58+Q59)&gt;Q46,2+(Q46-Q57-Q58)/Q59,IF((Q57+Q58+Q59+Q60)&gt;Q46,3+(Q46-Q57-Q58-Q59)/Q60,"&gt;4 years"))))</f>
        <v>1.20573555477346</v>
      </c>
      <c r="R52" s="122"/>
      <c r="S52" s="123"/>
      <c r="T52" s="230">
        <f>IF(T57&gt;T46,T46/T57,IF((T57+T58)&gt;T46,1+(T46-T57)/T58,IF((T57+T58+T59)&gt;T46,2+(T46-T57-T58)/T59,IF((T57+T58+T59+T60)&gt;T46,3+(T46-T57-T58-T59)/T60,"&gt;4 years"))))</f>
        <v>1.18413852795616</v>
      </c>
      <c r="U52" s="122"/>
      <c r="V52" s="168"/>
      <c r="W52" s="245" t="str">
        <f>IF(W57&gt;W46,W46/W57,IF((W57+W58)&gt;W46,1+(W46-W57)/W58,IF((W57+W58+W59)&gt;W46,2+(W46-W57-W58)/W59,IF((W57+W58+W59+W60)&gt;W46,3+(W46-W57-W58-W59)/W60,"&gt;4 years"))))</f>
        <v>&gt;4 years</v>
      </c>
      <c r="X52" s="122"/>
      <c r="Y52" s="168"/>
      <c r="Z52" s="245">
        <f>IF(Z57&gt;Z46,Z46/Z57,IF((Z57+Z58)&gt;Z46,1+(Z46-Z57)/Z58,IF((Z57+Z58+Z59)&gt;Z46,2+(Z46-Z57-Z58)/Z59,IF((Z57+Z58+Z59+Z60)&gt;Z46,3+(Z46-Z57-Z58-Z59)/Z60,"&gt;4 years"))))</f>
        <v>1.47698796617431</v>
      </c>
      <c r="AA52" s="122"/>
      <c r="AB52" s="123"/>
      <c r="AC52" s="230">
        <f>IF(AC57&gt;AC46,AC46/AC57,IF((AC57+AC58)&gt;AC46,1+(AC46-AC57)/AC58,IF((AC57+AC58+AC59)&gt;AC46,2+(AC46-AC57-AC58)/AC59,IF((AC57+AC58+AC59+AC60)&gt;AC46,3+(AC46-AC57-AC58-AC59)/AC60,"&gt;4 years"))))</f>
        <v>2.56015260425372</v>
      </c>
      <c r="AD52" s="122"/>
      <c r="AE52" s="168"/>
    </row>
    <row r="53" ht="15.95" hidden="1" outlineLevel="1" spans="1:31">
      <c r="A53" s="147" t="s">
        <v>90</v>
      </c>
      <c r="B53" s="148" t="s">
        <v>91</v>
      </c>
      <c r="C53" s="149" t="s">
        <v>92</v>
      </c>
      <c r="D53" s="150"/>
      <c r="E53" s="221">
        <f>E54/(1+$C$10)+E44</f>
        <v>12547959.4794264</v>
      </c>
      <c r="F53" s="117"/>
      <c r="G53" s="161"/>
      <c r="H53" s="221">
        <f>H54/(1+$C$10)+H44</f>
        <v>13833391.3036358</v>
      </c>
      <c r="I53" s="117"/>
      <c r="J53" s="161"/>
      <c r="K53" s="221">
        <f>K54/(1+$C$10)+K44</f>
        <v>8262227.66338157</v>
      </c>
      <c r="L53" s="117"/>
      <c r="M53" s="161"/>
      <c r="N53" s="221">
        <f>N54/(1+$C$10)+N44</f>
        <v>8939653.9719842</v>
      </c>
      <c r="O53" s="117"/>
      <c r="P53" s="161"/>
      <c r="Q53" s="221">
        <f>Q54/(1+$C$10)+Q44</f>
        <v>10107475.1827261</v>
      </c>
      <c r="R53" s="117"/>
      <c r="S53" s="161"/>
      <c r="T53" s="221">
        <f>T54/(1+$C$10)+T44</f>
        <v>8939653.9719842</v>
      </c>
      <c r="U53" s="117"/>
      <c r="V53" s="161"/>
      <c r="W53" s="221">
        <f>W54/(1+$C$10)+W44</f>
        <v>12437611.7593053</v>
      </c>
      <c r="X53" s="117"/>
      <c r="Y53" s="161"/>
      <c r="Z53" s="221">
        <f>Z54/(1+$C$10)+Z44</f>
        <v>8869763.75805612</v>
      </c>
      <c r="AA53" s="117"/>
      <c r="AB53" s="161"/>
      <c r="AC53" s="221">
        <f>AC54/(1+$C$10)+AC44</f>
        <v>10945537.9956528</v>
      </c>
      <c r="AD53" s="117"/>
      <c r="AE53" s="161"/>
    </row>
    <row r="54" ht="15.2" hidden="1" outlineLevel="1" spans="2:31">
      <c r="B54" s="99"/>
      <c r="C54" s="151" t="s">
        <v>93</v>
      </c>
      <c r="D54" s="152"/>
      <c r="E54" s="222">
        <f>E55/(1+$C$10)+E44</f>
        <v>16312347.3232543</v>
      </c>
      <c r="F54" s="41"/>
      <c r="G54" s="164"/>
      <c r="H54" s="222">
        <f>H55/(1+$C$10)+H44</f>
        <v>17869008.6947265</v>
      </c>
      <c r="I54" s="41"/>
      <c r="J54" s="164"/>
      <c r="K54" s="222">
        <f>K55/(1+$C$10)+K44</f>
        <v>10660815.962396</v>
      </c>
      <c r="L54" s="41"/>
      <c r="M54" s="164"/>
      <c r="N54" s="222">
        <f>N55/(1+$C$10)+N44</f>
        <v>11491550.1635795</v>
      </c>
      <c r="O54" s="41"/>
      <c r="P54" s="164"/>
      <c r="Q54" s="222">
        <f>Q55/(1+$C$10)+Q44</f>
        <v>12931717.737544</v>
      </c>
      <c r="R54" s="41"/>
      <c r="S54" s="164"/>
      <c r="T54" s="222">
        <f>T55/(1+$C$10)+T44</f>
        <v>11491550.1635795</v>
      </c>
      <c r="U54" s="41"/>
      <c r="V54" s="164"/>
      <c r="W54" s="222">
        <f>W55/(1+$C$10)+W44</f>
        <v>16038895.2870969</v>
      </c>
      <c r="X54" s="41"/>
      <c r="Y54" s="164"/>
      <c r="Z54" s="222">
        <f>Z55/(1+$C$10)+Z44</f>
        <v>11335692.885473</v>
      </c>
      <c r="AA54" s="41"/>
      <c r="AB54" s="164"/>
      <c r="AC54" s="222">
        <f>AC55/(1+$C$10)+AC44</f>
        <v>14099199.3943487</v>
      </c>
      <c r="AD54" s="41"/>
      <c r="AE54" s="164"/>
    </row>
    <row r="55" ht="15.2" hidden="1" outlineLevel="1" spans="2:31">
      <c r="B55" s="99"/>
      <c r="C55" s="151" t="s">
        <v>94</v>
      </c>
      <c r="D55" s="152"/>
      <c r="E55" s="222">
        <f>E56/(1+$C$10)+E44</f>
        <v>21206051.5202307</v>
      </c>
      <c r="F55" s="41"/>
      <c r="G55" s="164"/>
      <c r="H55" s="222">
        <f>H56/(1+$C$10)+H44</f>
        <v>23115311.3031445</v>
      </c>
      <c r="I55" s="41"/>
      <c r="J55" s="164"/>
      <c r="K55" s="222">
        <f>K56/(1+$C$10)+K44</f>
        <v>13778980.7511148</v>
      </c>
      <c r="L55" s="41"/>
      <c r="M55" s="164"/>
      <c r="N55" s="222">
        <f>N56/(1+$C$10)+N44</f>
        <v>14809015.2126533</v>
      </c>
      <c r="O55" s="41"/>
      <c r="P55" s="164"/>
      <c r="Q55" s="222">
        <f>Q56/(1+$C$10)+Q44</f>
        <v>16603233.0588072</v>
      </c>
      <c r="R55" s="41"/>
      <c r="S55" s="164"/>
      <c r="T55" s="222">
        <f>T56/(1+$C$10)+T44</f>
        <v>14809015.2126533</v>
      </c>
      <c r="U55" s="41"/>
      <c r="V55" s="164"/>
      <c r="W55" s="222">
        <f>W56/(1+$C$10)+W44</f>
        <v>20720563.873226</v>
      </c>
      <c r="X55" s="41"/>
      <c r="Y55" s="164"/>
      <c r="Z55" s="222">
        <f>Z56/(1+$C$10)+Z44</f>
        <v>14541400.7511148</v>
      </c>
      <c r="AA55" s="41"/>
      <c r="AB55" s="164"/>
      <c r="AC55" s="222">
        <f>AC56/(1+$C$10)+AC44</f>
        <v>18198959.2126533</v>
      </c>
      <c r="AD55" s="41"/>
      <c r="AE55" s="164"/>
    </row>
    <row r="56" ht="15.2" hidden="1" outlineLevel="1" spans="2:31">
      <c r="B56" s="101"/>
      <c r="C56" s="151" t="s">
        <v>95</v>
      </c>
      <c r="D56" s="152"/>
      <c r="E56" s="222">
        <f>E45+E44</f>
        <v>27567866.9762998</v>
      </c>
      <c r="F56" s="41"/>
      <c r="G56" s="164"/>
      <c r="H56" s="222">
        <f>H45+H44</f>
        <v>29935504.6940878</v>
      </c>
      <c r="I56" s="41"/>
      <c r="J56" s="164"/>
      <c r="K56" s="222">
        <f>K45+K44</f>
        <v>17832594.9764493</v>
      </c>
      <c r="L56" s="41"/>
      <c r="M56" s="164"/>
      <c r="N56" s="222">
        <f>N45+N44</f>
        <v>19121719.7764493</v>
      </c>
      <c r="O56" s="41"/>
      <c r="P56" s="164"/>
      <c r="Q56" s="222">
        <f>Q45+Q44</f>
        <v>21376202.9764493</v>
      </c>
      <c r="R56" s="41"/>
      <c r="S56" s="164"/>
      <c r="T56" s="222">
        <f>T45+T44</f>
        <v>19121719.7764493</v>
      </c>
      <c r="U56" s="41"/>
      <c r="V56" s="164"/>
      <c r="W56" s="222">
        <f>W45+W44</f>
        <v>26806733.0351938</v>
      </c>
      <c r="X56" s="41"/>
      <c r="Y56" s="164"/>
      <c r="Z56" s="222">
        <f>Z45+Z44</f>
        <v>18708820.9764493</v>
      </c>
      <c r="AA56" s="41"/>
      <c r="AB56" s="164"/>
      <c r="AC56" s="222">
        <f>AC45+AC44</f>
        <v>23528646.9764493</v>
      </c>
      <c r="AD56" s="41"/>
      <c r="AE56" s="164"/>
    </row>
    <row r="57" ht="15.2" hidden="1" outlineLevel="1" spans="2:31">
      <c r="B57" s="153" t="s">
        <v>96</v>
      </c>
      <c r="C57" s="151" t="s">
        <v>97</v>
      </c>
      <c r="D57" s="152"/>
      <c r="E57" s="223"/>
      <c r="F57" s="152"/>
      <c r="G57" s="152"/>
      <c r="H57" s="222">
        <f t="shared" ref="H57:H60" si="61">$E53-H53</f>
        <v>-1285431.82420937</v>
      </c>
      <c r="I57" s="41"/>
      <c r="J57" s="164"/>
      <c r="K57" s="222">
        <f t="shared" ref="K57:K60" si="62">$E53-K53</f>
        <v>4285731.81604485</v>
      </c>
      <c r="L57" s="41"/>
      <c r="M57" s="164"/>
      <c r="N57" s="222">
        <f t="shared" ref="N57:N60" si="63">$E53-N53</f>
        <v>3608305.50744222</v>
      </c>
      <c r="O57" s="41"/>
      <c r="P57" s="164"/>
      <c r="Q57" s="222">
        <f t="shared" ref="Q57:Q60" si="64">$E53-Q53</f>
        <v>2440484.2967003</v>
      </c>
      <c r="R57" s="41"/>
      <c r="S57" s="164"/>
      <c r="T57" s="222">
        <f t="shared" ref="T57:T60" si="65">$E53-T53</f>
        <v>3608305.50744222</v>
      </c>
      <c r="U57" s="41"/>
      <c r="V57" s="164"/>
      <c r="W57" s="222">
        <f t="shared" ref="W57:W60" si="66">$E53-W53</f>
        <v>110347.720121074</v>
      </c>
      <c r="X57" s="41"/>
      <c r="Y57" s="164"/>
      <c r="Z57" s="222">
        <f t="shared" ref="Z57:Z60" si="67">$E53-Z53</f>
        <v>3678195.7213703</v>
      </c>
      <c r="AA57" s="41"/>
      <c r="AB57" s="164"/>
      <c r="AC57" s="222">
        <f t="shared" ref="AC57:AC60" si="68">$E53-AC53</f>
        <v>1602421.48377357</v>
      </c>
      <c r="AD57" s="41"/>
      <c r="AE57" s="164"/>
    </row>
    <row r="58" ht="15.2" hidden="1" outlineLevel="1" spans="2:31">
      <c r="B58" s="99"/>
      <c r="C58" s="151" t="s">
        <v>98</v>
      </c>
      <c r="D58" s="152"/>
      <c r="E58" s="223"/>
      <c r="F58" s="152"/>
      <c r="G58" s="152"/>
      <c r="H58" s="222">
        <f t="shared" si="61"/>
        <v>-1556661.37147218</v>
      </c>
      <c r="I58" s="41"/>
      <c r="J58" s="164"/>
      <c r="K58" s="222">
        <f t="shared" si="62"/>
        <v>5651531.36085831</v>
      </c>
      <c r="L58" s="41"/>
      <c r="M58" s="164"/>
      <c r="N58" s="222">
        <f t="shared" si="63"/>
        <v>4820797.15967488</v>
      </c>
      <c r="O58" s="41"/>
      <c r="P58" s="164"/>
      <c r="Q58" s="222">
        <f t="shared" si="64"/>
        <v>3380629.58571038</v>
      </c>
      <c r="R58" s="41"/>
      <c r="S58" s="164"/>
      <c r="T58" s="222">
        <f t="shared" si="65"/>
        <v>4820797.15967488</v>
      </c>
      <c r="U58" s="41"/>
      <c r="V58" s="164"/>
      <c r="W58" s="222">
        <f t="shared" si="66"/>
        <v>273452.036157398</v>
      </c>
      <c r="X58" s="41"/>
      <c r="Y58" s="164"/>
      <c r="Z58" s="222">
        <f t="shared" si="67"/>
        <v>4976654.43778139</v>
      </c>
      <c r="AA58" s="41"/>
      <c r="AB58" s="164"/>
      <c r="AC58" s="222">
        <f t="shared" si="68"/>
        <v>2213147.92890565</v>
      </c>
      <c r="AD58" s="41"/>
      <c r="AE58" s="164"/>
    </row>
    <row r="59" ht="15.2" hidden="1" outlineLevel="1" spans="2:31">
      <c r="B59" s="99"/>
      <c r="C59" s="151" t="s">
        <v>99</v>
      </c>
      <c r="D59" s="152"/>
      <c r="E59" s="223"/>
      <c r="F59" s="152"/>
      <c r="G59" s="152"/>
      <c r="H59" s="222">
        <f t="shared" si="61"/>
        <v>-1909259.78291384</v>
      </c>
      <c r="I59" s="41"/>
      <c r="J59" s="164"/>
      <c r="K59" s="222">
        <f t="shared" si="62"/>
        <v>7427070.76911581</v>
      </c>
      <c r="L59" s="41"/>
      <c r="M59" s="164"/>
      <c r="N59" s="222">
        <f t="shared" si="63"/>
        <v>6397036.30757734</v>
      </c>
      <c r="O59" s="41"/>
      <c r="P59" s="164"/>
      <c r="Q59" s="222">
        <f t="shared" si="64"/>
        <v>4602818.4614235</v>
      </c>
      <c r="R59" s="41"/>
      <c r="S59" s="164"/>
      <c r="T59" s="222">
        <f t="shared" si="65"/>
        <v>6397036.30757734</v>
      </c>
      <c r="U59" s="41"/>
      <c r="V59" s="164"/>
      <c r="W59" s="222">
        <f t="shared" si="66"/>
        <v>485487.647004616</v>
      </c>
      <c r="X59" s="41"/>
      <c r="Y59" s="164"/>
      <c r="Z59" s="222">
        <f t="shared" si="67"/>
        <v>6664650.76911581</v>
      </c>
      <c r="AA59" s="41"/>
      <c r="AB59" s="164"/>
      <c r="AC59" s="222">
        <f t="shared" si="68"/>
        <v>3007092.30757734</v>
      </c>
      <c r="AD59" s="41"/>
      <c r="AE59" s="164"/>
    </row>
    <row r="60" ht="15.95" hidden="1" outlineLevel="1" spans="1:31">
      <c r="A60" s="154"/>
      <c r="B60" s="155"/>
      <c r="C60" s="156" t="s">
        <v>100</v>
      </c>
      <c r="D60" s="157"/>
      <c r="E60" s="224"/>
      <c r="F60" s="157"/>
      <c r="G60" s="157"/>
      <c r="H60" s="225">
        <f t="shared" si="61"/>
        <v>-2367637.71778799</v>
      </c>
      <c r="I60" s="122"/>
      <c r="J60" s="168"/>
      <c r="K60" s="225">
        <f t="shared" si="62"/>
        <v>9735271.99985055</v>
      </c>
      <c r="L60" s="122"/>
      <c r="M60" s="168"/>
      <c r="N60" s="225">
        <f t="shared" si="63"/>
        <v>8446147.19985055</v>
      </c>
      <c r="O60" s="122"/>
      <c r="P60" s="168"/>
      <c r="Q60" s="225">
        <f t="shared" si="64"/>
        <v>6191663.99985055</v>
      </c>
      <c r="R60" s="122"/>
      <c r="S60" s="168"/>
      <c r="T60" s="225">
        <f t="shared" si="65"/>
        <v>8446147.19985055</v>
      </c>
      <c r="U60" s="122"/>
      <c r="V60" s="168"/>
      <c r="W60" s="225">
        <f t="shared" si="66"/>
        <v>761133.941106003</v>
      </c>
      <c r="X60" s="122"/>
      <c r="Y60" s="168"/>
      <c r="Z60" s="225">
        <f t="shared" si="67"/>
        <v>8859045.99985055</v>
      </c>
      <c r="AA60" s="122"/>
      <c r="AB60" s="168"/>
      <c r="AC60" s="225">
        <f t="shared" si="68"/>
        <v>4039219.99985055</v>
      </c>
      <c r="AD60" s="122"/>
      <c r="AE60" s="168"/>
    </row>
    <row r="61" ht="15.95" spans="1:3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 ht="15.2" spans="1:31">
      <c r="A62" s="37"/>
      <c r="B62" s="74" t="s">
        <v>128</v>
      </c>
      <c r="C62" s="37"/>
      <c r="D62" s="158" t="s">
        <v>129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</row>
    <row r="63" ht="15.2" spans="1:31">
      <c r="A63" s="59"/>
      <c r="B63" s="59"/>
      <c r="C63" s="59"/>
      <c r="D63" s="38" t="s">
        <v>130</v>
      </c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 ht="15.2" spans="1:3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105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 ht="15.2" spans="1:3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 ht="15.2" spans="1:3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 ht="15.2" spans="1:3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 ht="15.2" spans="1:3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 ht="15.2" spans="1:3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 ht="15.2" spans="1:3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 ht="15.2" spans="1:3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ht="15.2" spans="1:3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 ht="15.2" spans="1:3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 ht="15.2" spans="1:3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 ht="15.2" spans="1:3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 ht="15.2" spans="1:3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 ht="15.2" spans="1:3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ht="15.2" spans="1:3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 ht="15.2" spans="1:3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 ht="15.2" spans="1:3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 ht="15.2" spans="1:3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 ht="15.2" spans="1:3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 ht="15.2" spans="1:3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 ht="15.2" spans="1:3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 ht="15.2" spans="1:3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 ht="15.2" spans="1:3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 ht="15.2" spans="1:3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 ht="15.2" spans="1:3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 ht="15.2" spans="1:3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 ht="15.2" spans="1:3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 ht="15.2" spans="1:3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 ht="15.2" spans="1:3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 ht="15.2" spans="1:3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 ht="15.2" spans="1:3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 ht="15.2" spans="1:3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 ht="15.2" spans="1:3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 ht="15.2" spans="1:3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 ht="15.2" spans="1:3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 ht="15.2" spans="1:3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 ht="15.2" spans="1:3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 ht="15.2" spans="1:3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 ht="15.2" spans="1:3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 ht="15.2" spans="1:3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 ht="15.2" spans="1:3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ht="15.2" spans="1:3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 ht="15.2" spans="1:3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 ht="15.2" spans="1:3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 ht="15.2" spans="1:3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 ht="15.2" spans="1:3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 ht="15.2" spans="1:3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 ht="15.2" spans="1:3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ht="15.2" spans="1:3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 ht="15.2" spans="1:3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 ht="15.2" spans="1:3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 ht="15.2" spans="1:3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 ht="15.2" spans="1:3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 ht="15.2" spans="1:3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 ht="15.2" spans="1:3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 ht="15.2" spans="1:3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 ht="15.2" spans="1:3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 ht="15.2" spans="1:3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 ht="15.2" spans="1:3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 ht="15.2" spans="1:3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 ht="15.2" spans="1:3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 ht="15.2" spans="1:3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 ht="15.2" spans="1:3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 ht="15.2" spans="1:3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 ht="15.2" spans="1:3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 ht="15.2" spans="1:3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 ht="15.2" spans="1:3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 ht="15.2" spans="1: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 ht="15.2" spans="1:3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 ht="15.2" spans="1:3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 ht="15.2" spans="1:3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 ht="15.2" spans="1:3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 ht="15.2" spans="1:3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 ht="15.2" spans="1:3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 ht="15.2" spans="1:3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 ht="15.2" spans="1:3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 ht="15.2" spans="1:3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 ht="15.2" spans="1:3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 ht="15.2" spans="1:3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 ht="15.2" spans="1:3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 ht="15.2" spans="1:3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 ht="15.2" spans="1:3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 ht="15.2" spans="1:3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 ht="15.2" spans="1:3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ht="15.2" spans="1:3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 ht="15.2" spans="1:3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 ht="15.2" spans="1:3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 ht="15.2" spans="1:3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 ht="15.2" spans="1:3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 ht="15.2" spans="1:3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 ht="15.2" spans="1:3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ht="15.2" spans="1:3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 ht="15.2" spans="1:3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 ht="15.2" spans="1:3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 ht="15.2" spans="1:3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 ht="15.2" spans="1:3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 ht="15.2" spans="1:3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 ht="15.2" spans="1:3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ht="15.2" spans="1:3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 ht="15.2" spans="1:3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 ht="15.2" spans="1:3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 ht="15.2" spans="1:3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 ht="15.2" spans="1:3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 ht="15.2" spans="1:3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 ht="15.2" spans="1:3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ht="15.2" spans="1:3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 ht="15.2" spans="1:3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 ht="15.2" spans="1:3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 ht="15.2" spans="1:3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 ht="15.2" spans="1:3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 ht="15.2" spans="1:3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 ht="15.2" spans="1:3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ht="15.2" spans="1:3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 ht="15.2" spans="1:3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 ht="15.2" spans="1:3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 ht="15.2" spans="1:3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 ht="15.2" spans="1:3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 ht="15.2" spans="1:3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 ht="15.2" spans="1:3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ht="15.2" spans="1:3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 ht="15.2" spans="1:3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 ht="15.2" spans="1:3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 ht="15.2" spans="1:3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 ht="15.2" spans="1:3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 ht="15.2" spans="1:3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 ht="15.2" spans="1:3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 ht="15.2" spans="1:3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 ht="15.2" spans="1:3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 ht="15.2" spans="1:3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 ht="15.2" spans="1:3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 ht="15.2" spans="1:3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 ht="15.2" spans="1:3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 ht="15.2" spans="1:3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 ht="15.2" spans="1:3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 ht="15.2" spans="1:3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 ht="15.2" spans="1:3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 ht="15.2" spans="1:3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 ht="15.2" spans="1:3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 ht="15.2" spans="1:3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 ht="15.2" spans="1:3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 ht="15.2" spans="1:3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 ht="15.2" spans="1:3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 ht="15.2" spans="1:3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 ht="15.2" spans="1:3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 ht="15.2" spans="1:3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 ht="15.2" spans="1:3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 ht="15.2" spans="1:3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 ht="15.2" spans="1:3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 ht="15.2" spans="1:3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 ht="15.2" spans="1:3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 ht="15.2" spans="1:3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 ht="15.2" spans="1:3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 ht="15.2" spans="1:3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 ht="15.2" spans="1:3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 ht="15.2" spans="1:3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 ht="15.2" spans="1:3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 ht="15.2" spans="1:3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 ht="15.2" spans="1:3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 ht="15.2" spans="1:3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 ht="15.2" spans="1:3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 ht="15.2" spans="1:3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 ht="15.2" spans="1:3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 ht="15.2" spans="1:3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 ht="15.2" spans="1:3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 ht="15.2" spans="1:3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 ht="15.2" spans="1:3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 ht="15.2" spans="1:3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 ht="15.2" spans="1: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 ht="15.2" spans="1:3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 ht="15.2" spans="1:3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 ht="15.2" spans="1:3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 ht="15.2" spans="1:3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 ht="15.2" spans="1:3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 ht="15.2" spans="1:3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 ht="15.2" spans="1:3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 ht="15.2" spans="1:3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 ht="15.2" spans="1:3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 ht="15.2" spans="1:3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 ht="15.2" spans="1:3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 ht="15.2" spans="1:3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 ht="15.2" spans="1:3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 ht="15.2" spans="1:3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 ht="15.2" spans="1:3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 ht="15.2" spans="1:3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 ht="15.2" spans="1:3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 ht="15.2" spans="1:3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 ht="15.2" spans="1:3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 ht="15.2" spans="1:3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 ht="15.2" spans="1:3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 ht="15.2" spans="1:3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 ht="15.2" spans="1:3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 ht="15.2" spans="1:3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 ht="15.2" spans="1:3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 ht="15.2" spans="1:3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 ht="15.2" spans="1:3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 ht="15.2" spans="1:3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 ht="15.2" spans="1:3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 ht="15.2" spans="1:3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 ht="15.2" spans="1:3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 ht="15.2" spans="1:3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 ht="15.2" spans="1:3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 ht="15.2" spans="1:3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 ht="15.2" spans="1:3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 ht="15.2" spans="1:3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 ht="15.2" spans="1:3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 ht="15.2" spans="1:3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 ht="15.2" spans="1:3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 ht="15.2" spans="1:3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 ht="15.2" spans="1:3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 ht="15.2" spans="1:3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 ht="15.2" spans="1:3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 ht="15.2" spans="1:3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 ht="15.2" spans="1:3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 ht="15.2" spans="1:3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 ht="15.2" spans="1:3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 ht="15.2" spans="1:3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 ht="15.2" spans="1:3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 ht="15.2" spans="1:3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 ht="15.2" spans="1:3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 ht="15.2" spans="1:3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 ht="15.2" spans="1:3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 ht="15.2" spans="1:3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 ht="15.2" spans="1:3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 ht="15.2" spans="1:3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 ht="15.2" spans="1:3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 ht="15.2" spans="1:3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 ht="15.2" spans="1:3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 ht="15.2" spans="1:3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 ht="15.2" spans="1:3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 ht="15.2" spans="1:3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 ht="15.2" spans="1:3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 ht="15.2" spans="1:3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 ht="15.2" spans="1:3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 ht="15.2" spans="1:3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 ht="15.2" spans="1:3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 ht="15.2" spans="1:3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 ht="15.2" spans="1:3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 ht="15.2" spans="1:3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 ht="15.2" spans="1:3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 ht="15.2" spans="1:3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 ht="15.2" spans="1:3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 ht="15.2" spans="1:3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 ht="15.2" spans="1:3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 ht="15.2" spans="1:3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 ht="15.2" spans="1:3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 ht="15.2" spans="1:3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 ht="15.2" spans="1:3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 ht="15.2" spans="1:3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 ht="15.2" spans="1:3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 ht="15.2" spans="1:3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 ht="15.2" spans="1:3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 ht="15.2" spans="1:3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 ht="15.2" spans="1:3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 ht="15.2" spans="1:3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 ht="15.2" spans="1:3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 ht="15.2" spans="1:3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 ht="15.2" spans="1:3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 ht="15.2" spans="1:3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 ht="15.2" spans="1:3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 ht="15.2" spans="1:3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 ht="15.2" spans="1:3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 ht="15.2" spans="1:3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 ht="15.2" spans="1:3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 ht="15.2" spans="1:3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 ht="15.2" spans="1:3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 ht="15.2" spans="1:3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 ht="15.2" spans="1:3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 ht="15.2" spans="1: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 ht="15.2" spans="1:3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 ht="15.2" spans="1:3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 ht="15.2" spans="1:3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 ht="15.2" spans="1:3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 ht="15.2" spans="1:3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 ht="15.2" spans="1:3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 ht="15.2" spans="1:3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 ht="15.2" spans="1:3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 ht="15.2" spans="1:3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 ht="15.2" spans="1:3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 ht="15.2" spans="1:3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 ht="15.2" spans="1:3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 ht="15.2" spans="1:3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 ht="15.2" spans="1:3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 ht="15.2" spans="1:3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 ht="15.2" spans="1:3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 ht="15.2" spans="1:3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 ht="15.2" spans="1:3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 ht="15.2" spans="1:3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 ht="15.2" spans="1:3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 ht="15.2" spans="1:3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 ht="15.2" spans="1:3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 ht="15.2" spans="1:3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 ht="15.2" spans="1:3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 ht="15.2" spans="1:3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 ht="15.2" spans="1:3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 ht="15.2" spans="1:3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 ht="15.2" spans="1:3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 ht="15.2" spans="1:3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 ht="15.2" spans="1:3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 ht="15.2" spans="1:3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 ht="15.2" spans="1:3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 ht="15.2" spans="1:3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 ht="15.2" spans="1:3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 ht="15.2" spans="1:3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 ht="15.2" spans="1:3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 ht="15.2" spans="1:3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 ht="15.2" spans="1:3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 ht="15.2" spans="1:3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 ht="15.2" spans="1:3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 ht="15.2" spans="1:3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 ht="15.2" spans="1:3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 ht="15.2" spans="1:3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 ht="15.2" spans="1:3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 ht="15.2" spans="1:3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 ht="15.2" spans="1:3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 ht="15.2" spans="1:3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 ht="15.2" spans="1:3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 ht="15.2" spans="1:3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 ht="15.2" spans="1:3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 ht="15.2" spans="1:3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 ht="15.2" spans="1:3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 ht="15.2" spans="1:3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 ht="15.2" spans="1:3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 ht="15.2" spans="1:3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 ht="15.2" spans="1:3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 ht="15.2" spans="1:3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 ht="15.2" spans="1:3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 ht="15.2" spans="1:3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 ht="15.2" spans="1:3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 ht="15.2" spans="1:3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 ht="15.2" spans="1:3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 ht="15.2" spans="1:3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 ht="15.2" spans="1:3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 ht="15.2" spans="1:3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 ht="15.2" spans="1:3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 ht="15.2" spans="1:3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 ht="15.2" spans="1:3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 ht="15.2" spans="1:3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 ht="15.2" spans="1:3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 ht="15.2" spans="1:3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 ht="15.2" spans="1:3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 ht="15.2" spans="1:3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 ht="15.2" spans="1:3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 ht="15.2" spans="1:3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 ht="15.2" spans="1:3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 ht="15.2" spans="1:3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 ht="15.2" spans="1:3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 ht="15.2" spans="1:3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 ht="15.2" spans="1:3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 ht="15.2" spans="1:3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 ht="15.2" spans="1:3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 ht="15.2" spans="1:3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 ht="15.2" spans="1:3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 ht="15.2" spans="1:3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 ht="15.2" spans="1:3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 ht="15.2" spans="1:3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 ht="15.2" spans="1:3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 ht="15.2" spans="1:3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 ht="15.2" spans="1:3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 ht="15.2" spans="1:3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 ht="15.2" spans="1:3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 ht="15.2" spans="1:3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 ht="15.2" spans="1:3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 ht="15.2" spans="1:3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 ht="15.2" spans="1:3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 ht="15.2" spans="1:3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 ht="15.2" spans="1:3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 ht="15.2" spans="1:3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 ht="15.2" spans="1: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 ht="15.2" spans="1:3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 ht="15.2" spans="1:3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 ht="15.2" spans="1:3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 ht="15.2" spans="1:3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 ht="15.2" spans="1:3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 ht="15.2" spans="1:3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 ht="15.2" spans="1:3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 ht="15.2" spans="1:3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 ht="15.2" spans="1:3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 ht="15.2" spans="1:3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 ht="15.2" spans="1:3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 ht="15.2" spans="1:3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 ht="15.2" spans="1:3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 ht="15.2" spans="1:3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 ht="15.2" spans="1:3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 ht="15.2" spans="1:3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 ht="15.2" spans="1:3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 ht="15.2" spans="1:3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 ht="15.2" spans="1:3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 ht="15.2" spans="1:3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 ht="15.2" spans="1:3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 ht="15.2" spans="1:3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 ht="15.2" spans="1:3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 ht="15.2" spans="1:3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 ht="15.2" spans="1:3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 ht="15.2" spans="1:3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 ht="15.2" spans="1:3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 ht="15.2" spans="1:3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 ht="15.2" spans="1:3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 ht="15.2" spans="1:3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 ht="15.2" spans="1:3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 ht="15.2" spans="1:3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 ht="15.2" spans="1:3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 ht="15.2" spans="1:3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 ht="15.2" spans="1:3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 ht="15.2" spans="1:3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 ht="15.2" spans="1:3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 ht="15.2" spans="1:3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 ht="15.2" spans="1:3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 ht="15.2" spans="1:3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 ht="15.2" spans="1:3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 ht="15.2" spans="1:3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 ht="15.2" spans="1:3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 ht="15.2" spans="1:3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 ht="15.2" spans="1:3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 ht="15.2" spans="1:3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 ht="15.2" spans="1:3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 ht="15.2" spans="1:3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 ht="15.2" spans="1:3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 ht="15.2" spans="1:3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 ht="15.2" spans="1:3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 ht="15.2" spans="1:3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 ht="15.2" spans="1:3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 ht="15.2" spans="1:3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 ht="15.2" spans="1:3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 ht="15.2" spans="1:3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 ht="15.2" spans="1:3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 ht="15.2" spans="1:3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 ht="15.2" spans="1:3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 ht="15.2" spans="1:3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 ht="15.2" spans="1:3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 ht="15.2" spans="1:3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 ht="15.2" spans="1:3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 ht="15.2" spans="1:3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 ht="15.2" spans="1:3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 ht="15.2" spans="1:3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 ht="15.2" spans="1:3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 ht="15.2" spans="1:3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 ht="15.2" spans="1:3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 ht="15.2" spans="1:3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 ht="15.2" spans="1:3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 ht="15.2" spans="1:3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 ht="15.2" spans="1:3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 ht="15.2" spans="1:3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 ht="15.2" spans="1:3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 ht="15.2" spans="1:3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 ht="15.2" spans="1:3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 ht="15.2" spans="1:3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 ht="15.2" spans="1:3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 ht="15.2" spans="1:3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 ht="15.2" spans="1:3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 ht="15.2" spans="1:3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 ht="15.2" spans="1:3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 ht="15.2" spans="1:3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 ht="15.2" spans="1:3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 ht="15.2" spans="1:3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 ht="15.2" spans="1:3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 ht="15.2" spans="1:3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 ht="15.2" spans="1:3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 ht="15.2" spans="1:3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 ht="15.2" spans="1:3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 ht="15.2" spans="1:3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 ht="15.2" spans="1:3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 ht="15.2" spans="1:3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 ht="15.2" spans="1:3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 ht="15.2" spans="1:3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 ht="15.2" spans="1:3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 ht="15.2" spans="1:3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 ht="15.2" spans="1:3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 ht="15.2" spans="1: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 ht="15.2" spans="1:3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 ht="15.2" spans="1:3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 ht="15.2" spans="1:3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 ht="15.2" spans="1:3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 ht="15.2" spans="1:3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 ht="15.2" spans="1:3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 ht="15.2" spans="1:3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 ht="15.2" spans="1:3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 ht="15.2" spans="1:3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 ht="15.2" spans="1:3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 ht="15.2" spans="1:3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 ht="15.2" spans="1:3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 ht="15.2" spans="1:3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 ht="15.2" spans="1:3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 ht="15.2" spans="1:3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 ht="15.2" spans="1:3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 ht="15.2" spans="1:3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 ht="15.2" spans="1:3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 ht="15.2" spans="1:3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 ht="15.2" spans="1:3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 ht="15.2" spans="1:3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 ht="15.2" spans="1:3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 ht="15.2" spans="1:3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 ht="15.2" spans="1:3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 ht="15.2" spans="1:3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 ht="15.2" spans="1:3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 ht="15.2" spans="1:3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 ht="15.2" spans="1:3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 ht="15.2" spans="1:3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 ht="15.2" spans="1:3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 ht="15.2" spans="1:3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 ht="15.2" spans="1:3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 ht="15.2" spans="1:3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 ht="15.2" spans="1:3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 ht="15.2" spans="1:3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 ht="15.2" spans="1:3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 ht="15.2" spans="1:3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 ht="15.2" spans="1:3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 ht="15.2" spans="1:3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 ht="15.2" spans="1:3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 ht="15.2" spans="1:3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 ht="15.2" spans="1:3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 ht="15.2" spans="1:3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 ht="15.2" spans="1:3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 ht="15.2" spans="1:3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 ht="15.2" spans="1:3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 ht="15.2" spans="1:3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 ht="15.2" spans="1:3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 ht="15.2" spans="1:3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 ht="15.2" spans="1:3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 ht="15.2" spans="1:3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 ht="15.2" spans="1:3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 ht="15.2" spans="1:3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 ht="15.2" spans="1:3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 ht="15.2" spans="1:3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 ht="15.2" spans="1:3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 ht="15.2" spans="1:3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 ht="15.2" spans="1:3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 ht="15.2" spans="1:3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 ht="15.2" spans="1:3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 ht="15.2" spans="1:3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 ht="15.2" spans="1:3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 ht="15.2" spans="1:3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 ht="15.2" spans="1:3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 ht="15.2" spans="1:3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 ht="15.2" spans="1:3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 ht="15.2" spans="1:3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 ht="15.2" spans="1:3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 ht="15.2" spans="1:3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 ht="15.2" spans="1:3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 ht="15.2" spans="1:3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 ht="15.2" spans="1:3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 ht="15.2" spans="1:3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 ht="15.2" spans="1:3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 ht="15.2" spans="1:3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 ht="15.2" spans="1:3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 ht="15.2" spans="1:3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 ht="15.2" spans="1:3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 ht="15.2" spans="1:3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 ht="15.2" spans="1:3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 ht="15.2" spans="1:3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 ht="15.2" spans="1:3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 ht="15.2" spans="1:3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 ht="15.2" spans="1:3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 ht="15.2" spans="1:3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 ht="15.2" spans="1:3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 ht="15.2" spans="1:3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 ht="15.2" spans="1:3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 ht="15.2" spans="1:3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 ht="15.2" spans="1:3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 ht="15.2" spans="1:3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 ht="15.2" spans="1:3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 ht="15.2" spans="1:3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 ht="15.2" spans="1:3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 ht="15.2" spans="1:3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 ht="15.2" spans="1:3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 ht="15.2" spans="1:3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 ht="15.2" spans="1:3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 ht="15.2" spans="1:3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 ht="15.2" spans="1: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 ht="15.2" spans="1:3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 ht="15.2" spans="1:3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 ht="15.2" spans="1:3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 ht="15.2" spans="1:3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 ht="15.2" spans="1:3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 ht="15.2" spans="1:3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 ht="15.2" spans="1:3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 ht="15.2" spans="1:3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 ht="15.2" spans="1:3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 ht="15.2" spans="1:3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 ht="15.2" spans="1:3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 ht="15.2" spans="1:3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 ht="15.2" spans="1:3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 ht="15.2" spans="1:3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 ht="15.2" spans="1:3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 ht="15.2" spans="1:3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 ht="15.2" spans="1:3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 ht="15.2" spans="1:3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 ht="15.2" spans="1:3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 ht="15.2" spans="1:3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 ht="15.2" spans="1:3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 ht="15.2" spans="1:3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 ht="15.2" spans="1:3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 ht="15.2" spans="1:3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 ht="15.2" spans="1:3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 ht="15.2" spans="1:3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 ht="15.2" spans="1:3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 ht="15.2" spans="1:3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 ht="15.2" spans="1:3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 ht="15.2" spans="1:3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 ht="15.2" spans="1:3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 ht="15.2" spans="1:3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 ht="15.2" spans="1:3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 ht="15.2" spans="1:3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 ht="15.2" spans="1:3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 ht="15.2" spans="1:3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 ht="15.2" spans="1:3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 ht="15.2" spans="1:3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 ht="15.2" spans="1:3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 ht="15.2" spans="1:3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 ht="15.2" spans="1:3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 ht="15.2" spans="1:3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 ht="15.2" spans="1:3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 ht="15.2" spans="1:3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 ht="15.2" spans="1:3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 ht="15.2" spans="1:3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 ht="15.2" spans="1:3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 ht="15.2" spans="1:3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 ht="15.2" spans="1:3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 ht="15.2" spans="1:3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 ht="15.2" spans="1:3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 ht="15.2" spans="1:3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 ht="15.2" spans="1:3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 ht="15.2" spans="1:3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 ht="15.2" spans="1:3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 ht="15.2" spans="1:3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 ht="15.2" spans="1:3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 ht="15.2" spans="1:3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 ht="15.2" spans="1:3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 ht="15.2" spans="1:3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 ht="15.2" spans="1:3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 ht="15.2" spans="1:3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 ht="15.2" spans="1:3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 ht="15.2" spans="1:3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 ht="15.2" spans="1:3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 ht="15.2" spans="1:3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 ht="15.2" spans="1:3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 ht="15.2" spans="1:3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 ht="15.2" spans="1:3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 ht="15.2" spans="1:3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 ht="15.2" spans="1:3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 ht="15.2" spans="1:3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 ht="15.2" spans="1:3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 ht="15.2" spans="1:3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 ht="15.2" spans="1:3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 ht="15.2" spans="1:3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 ht="15.2" spans="1:3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 ht="15.2" spans="1:3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 ht="15.2" spans="1:3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 ht="15.2" spans="1:3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 ht="15.2" spans="1:3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 ht="15.2" spans="1:3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 ht="15.2" spans="1:3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 ht="15.2" spans="1:3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 ht="15.2" spans="1:3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 ht="15.2" spans="1:3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 ht="15.2" spans="1:3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 ht="15.2" spans="1:3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 ht="15.2" spans="1:3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 ht="15.2" spans="1:3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 ht="15.2" spans="1:3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 ht="15.2" spans="1:3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 ht="15.2" spans="1:3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 ht="15.2" spans="1:3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 ht="15.2" spans="1:3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 ht="15.2" spans="1:3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 ht="15.2" spans="1:3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 ht="15.2" spans="1:3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 ht="15.2" spans="1:3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 ht="15.2" spans="1: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 ht="15.2" spans="1:3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 ht="15.2" spans="1:3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 ht="15.2" spans="1:3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 ht="15.2" spans="1:3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 ht="15.2" spans="1:3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 ht="15.2" spans="1:3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 ht="15.2" spans="1:3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 ht="15.2" spans="1:3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 ht="15.2" spans="1:3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 ht="15.2" spans="1:3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 ht="15.2" spans="1:3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 ht="15.2" spans="1:3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 ht="15.2" spans="1:3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 ht="15.2" spans="1:3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 ht="15.2" spans="1:3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 ht="15.2" spans="1:3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 ht="15.2" spans="1:3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 ht="15.2" spans="1:3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 ht="15.2" spans="1:3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 ht="15.2" spans="1:3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 ht="15.2" spans="1:3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 ht="15.2" spans="1:3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 ht="15.2" spans="1:3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 ht="15.2" spans="1:3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 ht="15.2" spans="1:3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 ht="15.2" spans="1:3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 ht="15.2" spans="1:3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 ht="15.2" spans="1:3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 ht="15.2" spans="1:3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 ht="15.2" spans="1:3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 ht="15.2" spans="1:3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 ht="15.2" spans="1:3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 ht="15.2" spans="1:3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 ht="15.2" spans="1:3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 ht="15.2" spans="1:3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 ht="15.2" spans="1:3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 ht="15.2" spans="1:3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 ht="15.2" spans="1:3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 ht="15.2" spans="1:3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 ht="15.2" spans="1:3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 ht="15.2" spans="1:3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 ht="15.2" spans="1:3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 ht="15.2" spans="1:3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 ht="15.2" spans="1:3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 ht="15.2" spans="1:3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 ht="15.2" spans="1:3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 ht="15.2" spans="1:3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 ht="15.2" spans="1:3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 ht="15.2" spans="1:3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 ht="15.2" spans="1:3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 ht="15.2" spans="1:3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 ht="15.2" spans="1:3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 ht="15.2" spans="1:3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 ht="15.2" spans="1:3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 ht="15.2" spans="1:3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 ht="15.2" spans="1:3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 ht="15.2" spans="1:3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 ht="15.2" spans="1:3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 ht="15.2" spans="1:3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 ht="15.2" spans="1:3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 ht="15.2" spans="1:3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 ht="15.2" spans="1:3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 ht="15.2" spans="1:3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 ht="15.2" spans="1:3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 ht="15.2" spans="1:3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 ht="15.2" spans="1:3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 ht="15.2" spans="1:3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 ht="15.2" spans="1:3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 ht="15.2" spans="1:3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 ht="15.2" spans="1:3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 ht="15.2" spans="1:3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 ht="15.2" spans="1:3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 ht="15.2" spans="1:3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 ht="15.2" spans="1:3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 ht="15.2" spans="1:3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 ht="15.2" spans="1:3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 ht="15.2" spans="1:3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 ht="15.2" spans="1:3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 ht="15.2" spans="1:3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 ht="15.2" spans="1:3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 ht="15.2" spans="1:3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 ht="15.2" spans="1:3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 ht="15.2" spans="1:3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 ht="15.2" spans="1:3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 ht="15.2" spans="1:3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 ht="15.2" spans="1:3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 ht="15.2" spans="1:3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 ht="15.2" spans="1:3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 ht="15.2" spans="1:3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 ht="15.2" spans="1:3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 ht="15.2" spans="1:3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 ht="15.2" spans="1:3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 ht="15.2" spans="1:3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 ht="15.2" spans="1:3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 ht="15.2" spans="1:3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 ht="15.2" spans="1:3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 ht="15.2" spans="1:3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 ht="15.2" spans="1:3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 ht="15.2" spans="1:3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 ht="15.2" spans="1: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 ht="15.2" spans="1:3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 ht="15.2" spans="1:3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 ht="15.2" spans="1:3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 ht="15.2" spans="1:3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 ht="15.2" spans="1:3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 ht="15.2" spans="1:3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 ht="15.2" spans="1:3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 ht="15.2" spans="1:3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 ht="15.2" spans="1:3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 ht="15.2" spans="1:3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 ht="15.2" spans="1:3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 ht="15.2" spans="1:3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 ht="15.2" spans="1:3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 ht="15.2" spans="1:3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 ht="15.2" spans="1:3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 ht="15.2" spans="1:3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 ht="15.2" spans="1:3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 ht="15.2" spans="1:3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 ht="15.2" spans="1:3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 ht="15.2" spans="1:3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 ht="15.2" spans="1:3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 ht="15.2" spans="1:3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 ht="15.2" spans="1:3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 ht="15.2" spans="1:3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 ht="15.2" spans="1:3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 ht="15.2" spans="1:3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 ht="15.2" spans="1:3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 ht="15.2" spans="1:3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 ht="15.2" spans="1:3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 ht="15.2" spans="1:3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 ht="15.2" spans="1:3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 ht="15.2" spans="1:3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 ht="15.2" spans="1:3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 ht="15.2" spans="1:3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 ht="15.2" spans="1:3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 ht="15.2" spans="1:3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 ht="15.2" spans="1:3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 ht="15.2" spans="1:3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 ht="15.2" spans="1:3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 ht="15.2" spans="1:3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 ht="15.2" spans="1:3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 ht="15.2" spans="1:3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 ht="15.2" spans="1:3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 ht="15.2" spans="1:3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 ht="15.2" spans="1:3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 ht="15.2" spans="1:3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 ht="15.2" spans="1:3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 ht="15.2" spans="1:3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 ht="15.2" spans="1:3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 ht="15.2" spans="1:3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 ht="15.2" spans="1:3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 ht="15.2" spans="1:3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 ht="15.2" spans="1:3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 ht="15.2" spans="1:3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 ht="15.2" spans="1:3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 ht="15.2" spans="1:3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 ht="15.2" spans="1:3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 ht="15.2" spans="1:3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 ht="15.2" spans="1:3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 ht="15.2" spans="1:3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 ht="15.2" spans="1:3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 ht="15.2" spans="1:3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 ht="15.2" spans="1:3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 ht="15.2" spans="1:3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 ht="15.2" spans="1:3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 ht="15.2" spans="1:3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 ht="15.2" spans="1:3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 ht="15.2" spans="1:3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 ht="15.2" spans="1:3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 ht="15.2" spans="1:3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 ht="15.2" spans="1:3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 ht="15.2" spans="1:3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 ht="15.2" spans="1:3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 ht="15.2" spans="1:3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 ht="15.2" spans="1:3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 ht="15.2" spans="1:3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 ht="15.2" spans="1:3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 ht="15.2" spans="1:3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 ht="15.2" spans="1:3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 ht="15.2" spans="1:3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 ht="15.2" spans="1:3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 ht="15.2" spans="1:3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 ht="15.2" spans="1:3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 ht="15.2" spans="1:3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 ht="15.2" spans="1:3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 ht="15.2" spans="1:3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 ht="15.2" spans="1:3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 ht="15.2" spans="1:3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 ht="15.2" spans="1:3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 ht="15.2" spans="1:3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 ht="15.2" spans="1:3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 ht="15.2" spans="1:3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 ht="15.2" spans="1:3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 ht="15.2" spans="1:3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 ht="15.2" spans="1:3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 ht="15.2" spans="1:3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 ht="15.2" spans="1:3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 ht="15.2" spans="1:3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 ht="15.2" spans="1:3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 ht="15.2" spans="1: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 ht="15.2" spans="1:3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 ht="15.2" spans="1:3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 ht="15.2" spans="1:3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 ht="15.2" spans="1:3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 ht="15.2" spans="1:3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 ht="15.2" spans="1:3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 ht="15.2" spans="1:3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 ht="15.2" spans="1:3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 ht="15.2" spans="1:3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 ht="15.2" spans="1:3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 ht="15.2" spans="1:3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 ht="15.2" spans="1:3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 ht="15.2" spans="1:3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 ht="15.2" spans="1:3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 ht="15.2" spans="1:3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 ht="15.2" spans="1:3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 ht="15.2" spans="1:3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 ht="15.2" spans="1:3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 ht="15.2" spans="1:3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 ht="15.2" spans="1:3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 ht="15.2" spans="1:3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 ht="15.2" spans="1:3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 ht="15.2" spans="1:3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 ht="15.2" spans="1:3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 ht="15.2" spans="1:3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 ht="15.2" spans="1:3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 ht="15.2" spans="1:3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 ht="15.2" spans="1:3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 ht="15.2" spans="1:3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 ht="15.2" spans="1:3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 ht="15.2" spans="1:3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 ht="15.2" spans="1:3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 ht="15.2" spans="1:3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 ht="15.2" spans="1:3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 ht="15.2" spans="1:3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 ht="15.2" spans="1:3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 ht="15.2" spans="1:3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 ht="15.2" spans="1:3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 ht="15.2" spans="1:3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 ht="15.2" spans="1:3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 ht="15.2" spans="1:3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 ht="15.2" spans="1:3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 ht="15.2" spans="1:3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 ht="15.2" spans="1:3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 ht="15.2" spans="1:3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 ht="15.2" spans="1:3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 ht="15.2" spans="1:3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 ht="15.2" spans="1:3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 ht="15.2" spans="1:3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 ht="15.2" spans="1:3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 ht="15.2" spans="1:3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 ht="15.2" spans="1:3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 ht="15.2" spans="1:3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 ht="15.2" spans="1:3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 ht="15.2" spans="1:3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 ht="15.2" spans="1:3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  <row r="988" ht="15.2" spans="1:3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</row>
    <row r="989" ht="15.2" spans="1:3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</row>
    <row r="990" ht="15.2" spans="1:3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</row>
    <row r="991" ht="15.2" spans="1:3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</row>
    <row r="992" ht="15.2" spans="1:3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</row>
    <row r="993" ht="15.2" spans="1:3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</row>
    <row r="994" ht="15.2" spans="1:3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</row>
    <row r="995" ht="15.2" spans="1:3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</row>
    <row r="996" ht="15.2" spans="1:3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</row>
    <row r="997" ht="15.2" spans="1:3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</row>
    <row r="998" ht="15.2" spans="1:3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</row>
    <row r="999" ht="15.2" spans="1:3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</row>
    <row r="1000" ht="15.2" spans="1:3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</row>
    <row r="1001" ht="15.2" spans="1:3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</row>
    <row r="1002" ht="15.2" spans="1:31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</row>
    <row r="1003" ht="15.2" spans="1:31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</row>
    <row r="1004" ht="15.2" spans="1:31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</row>
    <row r="1005" ht="15.2" spans="1:31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</row>
    <row r="1006" ht="15.2" spans="1:31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</row>
    <row r="1007" ht="15.2" spans="1:31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</row>
    <row r="1008" ht="15.2" spans="1:31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</row>
    <row r="1009" ht="15.2" spans="1:31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</row>
  </sheetData>
  <mergeCells count="246">
    <mergeCell ref="A3:C3"/>
    <mergeCell ref="E3:J3"/>
    <mergeCell ref="L3:Q3"/>
    <mergeCell ref="A4:B4"/>
    <mergeCell ref="E4:F4"/>
    <mergeCell ref="L4:M4"/>
    <mergeCell ref="A5:B5"/>
    <mergeCell ref="E5:F5"/>
    <mergeCell ref="L5:M5"/>
    <mergeCell ref="A6:B6"/>
    <mergeCell ref="E6:F6"/>
    <mergeCell ref="L6:M6"/>
    <mergeCell ref="A7:B7"/>
    <mergeCell ref="E7:F7"/>
    <mergeCell ref="L7:M7"/>
    <mergeCell ref="A8:B8"/>
    <mergeCell ref="E8:F8"/>
    <mergeCell ref="L8:M8"/>
    <mergeCell ref="A9:B9"/>
    <mergeCell ref="E9:F9"/>
    <mergeCell ref="L9:M9"/>
    <mergeCell ref="A10:B10"/>
    <mergeCell ref="E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B17:D17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B37:C37"/>
    <mergeCell ref="B38:C38"/>
    <mergeCell ref="B39:C39"/>
    <mergeCell ref="B40:C40"/>
    <mergeCell ref="B41:C41"/>
    <mergeCell ref="B42:C42"/>
    <mergeCell ref="B43:C43"/>
    <mergeCell ref="B44:D44"/>
    <mergeCell ref="E44:G44"/>
    <mergeCell ref="H44:J44"/>
    <mergeCell ref="K44:M44"/>
    <mergeCell ref="N44:P44"/>
    <mergeCell ref="Q44:S44"/>
    <mergeCell ref="T44:V44"/>
    <mergeCell ref="W44:Y44"/>
    <mergeCell ref="Z44:AB44"/>
    <mergeCell ref="AC44:AE44"/>
    <mergeCell ref="B45:D45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B46:D46"/>
    <mergeCell ref="K46:M46"/>
    <mergeCell ref="N46:P46"/>
    <mergeCell ref="Q46:S46"/>
    <mergeCell ref="T46:V46"/>
    <mergeCell ref="W46:Y46"/>
    <mergeCell ref="Z46:AB46"/>
    <mergeCell ref="AC46:AE46"/>
    <mergeCell ref="B47:D47"/>
    <mergeCell ref="H47:J47"/>
    <mergeCell ref="K47:M47"/>
    <mergeCell ref="N47:P47"/>
    <mergeCell ref="Q47:S47"/>
    <mergeCell ref="T47:V47"/>
    <mergeCell ref="W47:Y47"/>
    <mergeCell ref="Z47:AB47"/>
    <mergeCell ref="AC47:AE47"/>
    <mergeCell ref="B48:D48"/>
    <mergeCell ref="H48:J48"/>
    <mergeCell ref="K48:M48"/>
    <mergeCell ref="N48:P48"/>
    <mergeCell ref="Q48:S48"/>
    <mergeCell ref="T48:V48"/>
    <mergeCell ref="W48:Y48"/>
    <mergeCell ref="Z48:AB48"/>
    <mergeCell ref="AC48:AE48"/>
    <mergeCell ref="B49:D49"/>
    <mergeCell ref="H49:J49"/>
    <mergeCell ref="K49:M49"/>
    <mergeCell ref="N49:P49"/>
    <mergeCell ref="Q49:S49"/>
    <mergeCell ref="T49:V49"/>
    <mergeCell ref="W49:Y49"/>
    <mergeCell ref="Z49:AB49"/>
    <mergeCell ref="AC49:AE49"/>
    <mergeCell ref="B50:D50"/>
    <mergeCell ref="H50:J50"/>
    <mergeCell ref="K50:M50"/>
    <mergeCell ref="N50:P50"/>
    <mergeCell ref="Q50:S50"/>
    <mergeCell ref="T50:V50"/>
    <mergeCell ref="W50:Y50"/>
    <mergeCell ref="Z50:AB50"/>
    <mergeCell ref="AC50:AE50"/>
    <mergeCell ref="B51:D51"/>
    <mergeCell ref="H51:J51"/>
    <mergeCell ref="K51:M51"/>
    <mergeCell ref="N51:P51"/>
    <mergeCell ref="Q51:S51"/>
    <mergeCell ref="T51:V51"/>
    <mergeCell ref="W51:Y51"/>
    <mergeCell ref="Z51:AB51"/>
    <mergeCell ref="AC51:AE51"/>
    <mergeCell ref="B52:D52"/>
    <mergeCell ref="H52:J52"/>
    <mergeCell ref="K52:M52"/>
    <mergeCell ref="N52:P52"/>
    <mergeCell ref="Q52:S52"/>
    <mergeCell ref="T52:V52"/>
    <mergeCell ref="W52:Y52"/>
    <mergeCell ref="Z52:AB52"/>
    <mergeCell ref="AC52:AE52"/>
    <mergeCell ref="E53:G53"/>
    <mergeCell ref="H53:J53"/>
    <mergeCell ref="K53:M53"/>
    <mergeCell ref="N53:P53"/>
    <mergeCell ref="Q53:S53"/>
    <mergeCell ref="T53:V53"/>
    <mergeCell ref="W53:Y53"/>
    <mergeCell ref="Z53:AB53"/>
    <mergeCell ref="AC53:AE53"/>
    <mergeCell ref="E54:G54"/>
    <mergeCell ref="H54:J54"/>
    <mergeCell ref="K54:M54"/>
    <mergeCell ref="N54:P54"/>
    <mergeCell ref="Q54:S54"/>
    <mergeCell ref="T54:V54"/>
    <mergeCell ref="W54:Y54"/>
    <mergeCell ref="Z54:AB54"/>
    <mergeCell ref="AC54:AE54"/>
    <mergeCell ref="E55:G55"/>
    <mergeCell ref="H55:J55"/>
    <mergeCell ref="K55:M55"/>
    <mergeCell ref="N55:P55"/>
    <mergeCell ref="Q55:S55"/>
    <mergeCell ref="T55:V55"/>
    <mergeCell ref="W55:Y55"/>
    <mergeCell ref="Z55:AB55"/>
    <mergeCell ref="AC55:AE55"/>
    <mergeCell ref="E56:G56"/>
    <mergeCell ref="H56:J56"/>
    <mergeCell ref="K56:M56"/>
    <mergeCell ref="N56:P56"/>
    <mergeCell ref="Q56:S56"/>
    <mergeCell ref="T56:V56"/>
    <mergeCell ref="W56:Y56"/>
    <mergeCell ref="Z56:AB56"/>
    <mergeCell ref="AC56:AE56"/>
    <mergeCell ref="H57:J57"/>
    <mergeCell ref="K57:M57"/>
    <mergeCell ref="N57:P57"/>
    <mergeCell ref="Q57:S57"/>
    <mergeCell ref="T57:V57"/>
    <mergeCell ref="W57:Y57"/>
    <mergeCell ref="Z57:AB57"/>
    <mergeCell ref="AC57:AE57"/>
    <mergeCell ref="H58:J58"/>
    <mergeCell ref="K58:M58"/>
    <mergeCell ref="N58:P58"/>
    <mergeCell ref="Q58:S58"/>
    <mergeCell ref="T58:V58"/>
    <mergeCell ref="W58:Y58"/>
    <mergeCell ref="Z58:AB58"/>
    <mergeCell ref="AC58:AE58"/>
    <mergeCell ref="H59:J59"/>
    <mergeCell ref="K59:M59"/>
    <mergeCell ref="N59:P59"/>
    <mergeCell ref="Q59:S59"/>
    <mergeCell ref="T59:V59"/>
    <mergeCell ref="W59:Y59"/>
    <mergeCell ref="Z59:AB59"/>
    <mergeCell ref="AC59:AE59"/>
    <mergeCell ref="H60:J60"/>
    <mergeCell ref="K60:M60"/>
    <mergeCell ref="N60:P60"/>
    <mergeCell ref="Q60:S60"/>
    <mergeCell ref="T60:V60"/>
    <mergeCell ref="W60:Y60"/>
    <mergeCell ref="Z60:AB60"/>
    <mergeCell ref="AC60:AE60"/>
    <mergeCell ref="A19:A43"/>
    <mergeCell ref="A44:A52"/>
    <mergeCell ref="A53:A60"/>
    <mergeCell ref="B19:B24"/>
    <mergeCell ref="B25:B34"/>
    <mergeCell ref="B35:B36"/>
    <mergeCell ref="B53:B56"/>
    <mergeCell ref="B57:B60"/>
  </mergeCells>
  <conditionalFormatting sqref="K52:AE5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19:G21 J19:J38 M19:M38 P19:P41 S19:S41 V19:V41 Y19:Y41 AB19:AB41 AE19:AE41 G25 G29:G31 G33 G35:G38 G40 J40:J41 M40:M41">
    <cfRule type="colorScale" priority="2">
      <colorScale>
        <cfvo type="min"/>
        <cfvo type="max"/>
        <color rgb="FFFFFFFF"/>
        <color rgb="FFE67C73"/>
      </colorScale>
    </cfRule>
  </conditionalFormatting>
  <hyperlinks>
    <hyperlink ref="B1" r:id="rId1" location="gid=1461799922" display="IB/OB Investment Case"/>
    <hyperlink ref="D62" r:id="rId2" display="https://docs.google.com/spreadsheets/d/1wd1sUJRxVS_jIxDFf1vPi_ZidwQXHKRUdEhZITixe_M/edit?gid=26619310#gid=26619310"/>
    <hyperlink ref="D63" r:id="rId3" location="gid=1862343260" display="https://docs.google.com/spreadsheets/d/1LZNgXurN-F8T91jaVKKlQv3jif8aQuy1jSNw4n0N-Lg/edit?gid=1862343260#gid=1862343260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002"/>
  <sheetViews>
    <sheetView showGridLines="0" workbookViewId="0">
      <selection activeCell="A1" sqref="A1"/>
    </sheetView>
  </sheetViews>
  <sheetFormatPr defaultColWidth="12.6339285714286" defaultRowHeight="15.75" customHeight="1"/>
  <cols>
    <col min="1" max="1" width="11.3839285714286" customWidth="1"/>
    <col min="2" max="2" width="10.1339285714286" customWidth="1"/>
    <col min="3" max="6" width="11.5" customWidth="1"/>
    <col min="7" max="7" width="12.8839285714286" customWidth="1"/>
    <col min="8" max="9" width="11.5" customWidth="1"/>
    <col min="10" max="10" width="10.25" customWidth="1"/>
    <col min="11" max="11" width="11.5" customWidth="1" collapsed="1"/>
    <col min="12" max="17" width="11.5" hidden="1" customWidth="1" outlineLevel="1"/>
  </cols>
  <sheetData>
    <row r="1" ht="15.2" spans="1:21">
      <c r="A1" s="37" t="s">
        <v>111</v>
      </c>
      <c r="B1" s="38" t="s">
        <v>112</v>
      </c>
      <c r="C1" s="39"/>
      <c r="D1" s="39"/>
      <c r="E1" s="60"/>
      <c r="F1" s="59"/>
      <c r="G1" s="59"/>
      <c r="H1" s="61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ht="9.75" customHeight="1" spans="1:21">
      <c r="A2" s="39"/>
      <c r="B2" s="39"/>
      <c r="C2" s="39"/>
      <c r="D2" s="39"/>
      <c r="E2" s="60"/>
      <c r="F2" s="59"/>
      <c r="G2" s="59"/>
      <c r="H2" s="61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ht="15.2" spans="1:21">
      <c r="A3" s="77" t="s">
        <v>1</v>
      </c>
      <c r="B3" s="41"/>
      <c r="C3" s="42"/>
      <c r="D3" s="3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ht="15.2" spans="1:21">
      <c r="A4" s="78" t="s">
        <v>4</v>
      </c>
      <c r="B4" s="41"/>
      <c r="C4" s="79">
        <v>24.5</v>
      </c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ht="15.2" spans="1:21">
      <c r="A5" s="78" t="s">
        <v>6</v>
      </c>
      <c r="B5" s="41"/>
      <c r="C5" s="62">
        <v>20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</row>
    <row r="6" ht="15.2" spans="1:21">
      <c r="A6" s="78" t="s">
        <v>8</v>
      </c>
      <c r="B6" s="41"/>
      <c r="C6" s="72">
        <f>7-1/3</f>
        <v>6.66666666666667</v>
      </c>
      <c r="F6" s="104"/>
      <c r="G6" s="104"/>
      <c r="H6" s="105"/>
      <c r="I6" s="105"/>
      <c r="J6" s="105"/>
      <c r="K6" s="105"/>
      <c r="L6" s="105"/>
      <c r="M6" s="59"/>
      <c r="N6" s="59"/>
      <c r="O6" s="59"/>
      <c r="P6" s="59"/>
      <c r="Q6" s="59"/>
      <c r="R6" s="59"/>
      <c r="S6" s="59"/>
      <c r="T6" s="59"/>
      <c r="U6" s="59"/>
    </row>
    <row r="7" ht="15.2" spans="1:21">
      <c r="A7" s="78" t="s">
        <v>10</v>
      </c>
      <c r="B7" s="41"/>
      <c r="C7" s="62">
        <f>6*52</f>
        <v>312</v>
      </c>
      <c r="F7" s="104"/>
      <c r="G7" s="104"/>
      <c r="H7" s="105"/>
      <c r="I7" s="105"/>
      <c r="J7" s="105"/>
      <c r="K7" s="105"/>
      <c r="L7" s="105"/>
      <c r="M7" s="59"/>
      <c r="N7" s="59"/>
      <c r="O7" s="59"/>
      <c r="P7" s="59"/>
      <c r="Q7" s="59"/>
      <c r="R7" s="59"/>
      <c r="S7" s="59"/>
      <c r="T7" s="59"/>
      <c r="U7" s="59"/>
    </row>
    <row r="8" ht="15.2" spans="1:21">
      <c r="A8" s="78" t="s">
        <v>13</v>
      </c>
      <c r="B8" s="41"/>
      <c r="C8" s="62">
        <v>4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</row>
    <row r="9" ht="15.2" spans="1:21">
      <c r="A9" s="78" t="s">
        <v>16</v>
      </c>
      <c r="B9" s="41"/>
      <c r="C9" s="80">
        <v>0.5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ht="17.25" customHeight="1" spans="1:21">
      <c r="A10" s="78" t="s">
        <v>18</v>
      </c>
      <c r="B10" s="41"/>
      <c r="C10" s="80">
        <v>0.3</v>
      </c>
      <c r="D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ht="7.5" customHeight="1" spans="1:21">
      <c r="A11" s="39"/>
      <c r="B11" s="39"/>
      <c r="C11" s="39"/>
      <c r="D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ht="15.2" spans="1:21">
      <c r="A12" s="77" t="s">
        <v>131</v>
      </c>
      <c r="B12" s="41"/>
      <c r="C12" s="41"/>
      <c r="D12" s="41"/>
      <c r="E12" s="41"/>
      <c r="F12" s="42"/>
      <c r="G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ht="15.2" spans="1:21">
      <c r="A13" s="78" t="s">
        <v>5</v>
      </c>
      <c r="B13" s="42"/>
      <c r="C13" s="81">
        <v>2026</v>
      </c>
      <c r="D13" s="81">
        <v>2027</v>
      </c>
      <c r="E13" s="81">
        <v>2028</v>
      </c>
      <c r="F13" s="81">
        <v>2029</v>
      </c>
      <c r="G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ht="15.2" spans="1:21">
      <c r="A14" s="78" t="s">
        <v>113</v>
      </c>
      <c r="B14" s="42"/>
      <c r="C14" s="65">
        <v>3995</v>
      </c>
      <c r="D14" s="65">
        <v>6431</v>
      </c>
      <c r="E14" s="65">
        <v>7663</v>
      </c>
      <c r="F14" s="65">
        <v>8597</v>
      </c>
      <c r="G14" s="106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ht="15.2" spans="1:21">
      <c r="A15" s="78" t="s">
        <v>114</v>
      </c>
      <c r="B15" s="42"/>
      <c r="C15" s="65">
        <v>4035</v>
      </c>
      <c r="D15" s="65">
        <v>6608</v>
      </c>
      <c r="E15" s="65">
        <v>7929</v>
      </c>
      <c r="F15" s="65">
        <v>8937</v>
      </c>
      <c r="G15" s="10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ht="15.2" spans="1:21">
      <c r="A16" s="78" t="s">
        <v>23</v>
      </c>
      <c r="B16" s="42"/>
      <c r="C16" s="65">
        <f t="shared" ref="C16:F16" si="0">ROUNDUP(C14*$C$5,-3)</f>
        <v>80000</v>
      </c>
      <c r="D16" s="65">
        <f t="shared" si="0"/>
        <v>129000</v>
      </c>
      <c r="E16" s="65">
        <f t="shared" si="0"/>
        <v>154000</v>
      </c>
      <c r="F16" s="65">
        <f t="shared" si="0"/>
        <v>172000</v>
      </c>
      <c r="G16" s="106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ht="15.2" spans="1:21">
      <c r="A17" s="78" t="s">
        <v>25</v>
      </c>
      <c r="B17" s="42"/>
      <c r="C17" s="65">
        <f t="shared" ref="C17:F17" si="1">ROUNDUP(C15*$C$5,-3)</f>
        <v>81000</v>
      </c>
      <c r="D17" s="65">
        <f t="shared" si="1"/>
        <v>133000</v>
      </c>
      <c r="E17" s="65">
        <f t="shared" si="1"/>
        <v>159000</v>
      </c>
      <c r="F17" s="65">
        <f t="shared" si="1"/>
        <v>179000</v>
      </c>
      <c r="G17" s="10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ht="16.5" customHeight="1" spans="1:2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ht="24" spans="1:21">
      <c r="A19" s="82" t="s">
        <v>26</v>
      </c>
      <c r="B19" s="78" t="s">
        <v>132</v>
      </c>
      <c r="C19" s="41"/>
      <c r="D19" s="42"/>
      <c r="E19" s="107" t="s">
        <v>27</v>
      </c>
      <c r="F19" s="107" t="s">
        <v>133</v>
      </c>
      <c r="G19" s="107" t="s">
        <v>134</v>
      </c>
      <c r="H19" s="107" t="s">
        <v>135</v>
      </c>
      <c r="I19" s="107" t="s">
        <v>136</v>
      </c>
      <c r="J19" s="107" t="s">
        <v>137</v>
      </c>
      <c r="K19" s="107" t="s">
        <v>138</v>
      </c>
      <c r="L19" s="107" t="s">
        <v>139</v>
      </c>
      <c r="M19" s="107" t="s">
        <v>140</v>
      </c>
      <c r="N19" s="107" t="s">
        <v>141</v>
      </c>
      <c r="O19" s="107" t="s">
        <v>142</v>
      </c>
      <c r="P19" s="107" t="s">
        <v>143</v>
      </c>
      <c r="Q19" s="107" t="s">
        <v>144</v>
      </c>
      <c r="S19" s="39"/>
      <c r="T19" s="39"/>
      <c r="U19" s="39"/>
    </row>
    <row r="20" ht="15.2" spans="1:21">
      <c r="A20" s="48"/>
      <c r="B20" s="83" t="s">
        <v>44</v>
      </c>
      <c r="C20" s="41"/>
      <c r="D20" s="42"/>
      <c r="E20" s="63" t="s">
        <v>27</v>
      </c>
      <c r="F20" s="63" t="s">
        <v>27</v>
      </c>
      <c r="G20" s="63" t="s">
        <v>27</v>
      </c>
      <c r="H20" s="63" t="s">
        <v>27</v>
      </c>
      <c r="I20" s="63" t="s">
        <v>27</v>
      </c>
      <c r="J20" s="63" t="s">
        <v>27</v>
      </c>
      <c r="K20" s="63" t="s">
        <v>27</v>
      </c>
      <c r="L20" s="63" t="s">
        <v>27</v>
      </c>
      <c r="M20" s="63" t="s">
        <v>27</v>
      </c>
      <c r="N20" s="63" t="s">
        <v>27</v>
      </c>
      <c r="O20" s="63" t="s">
        <v>27</v>
      </c>
      <c r="P20" s="63" t="s">
        <v>27</v>
      </c>
      <c r="Q20" s="63" t="s">
        <v>27</v>
      </c>
      <c r="S20" s="75"/>
      <c r="T20" s="75"/>
      <c r="U20" s="75"/>
    </row>
    <row r="21" ht="36" spans="1:21">
      <c r="A21" s="48"/>
      <c r="B21" s="83" t="s">
        <v>54</v>
      </c>
      <c r="C21" s="41"/>
      <c r="D21" s="42"/>
      <c r="E21" s="63" t="s">
        <v>145</v>
      </c>
      <c r="F21" s="63" t="s">
        <v>146</v>
      </c>
      <c r="G21" s="63" t="s">
        <v>147</v>
      </c>
      <c r="H21" s="63" t="s">
        <v>148</v>
      </c>
      <c r="I21" s="63" t="s">
        <v>149</v>
      </c>
      <c r="J21" s="63" t="s">
        <v>149</v>
      </c>
      <c r="K21" s="63" t="s">
        <v>150</v>
      </c>
      <c r="L21" s="63" t="s">
        <v>151</v>
      </c>
      <c r="M21" s="63" t="s">
        <v>152</v>
      </c>
      <c r="N21" s="63" t="s">
        <v>153</v>
      </c>
      <c r="O21" s="63" t="s">
        <v>154</v>
      </c>
      <c r="P21" s="63" t="s">
        <v>155</v>
      </c>
      <c r="Q21" s="63" t="s">
        <v>156</v>
      </c>
      <c r="S21" s="75"/>
      <c r="T21" s="75"/>
      <c r="U21" s="75"/>
    </row>
    <row r="22" ht="15.2" spans="1:21">
      <c r="A22" s="49"/>
      <c r="B22" s="83" t="s">
        <v>67</v>
      </c>
      <c r="C22" s="41"/>
      <c r="D22" s="42"/>
      <c r="E22" s="63" t="s">
        <v>27</v>
      </c>
      <c r="F22" s="63" t="s">
        <v>27</v>
      </c>
      <c r="G22" s="63" t="s">
        <v>27</v>
      </c>
      <c r="H22" s="63" t="s">
        <v>27</v>
      </c>
      <c r="I22" s="63" t="s">
        <v>27</v>
      </c>
      <c r="J22" s="63" t="s">
        <v>27</v>
      </c>
      <c r="K22" s="63" t="s">
        <v>27</v>
      </c>
      <c r="L22" s="63" t="s">
        <v>27</v>
      </c>
      <c r="M22" s="63" t="s">
        <v>27</v>
      </c>
      <c r="N22" s="63" t="s">
        <v>27</v>
      </c>
      <c r="O22" s="63" t="s">
        <v>27</v>
      </c>
      <c r="P22" s="63" t="s">
        <v>27</v>
      </c>
      <c r="Q22" s="63" t="s">
        <v>27</v>
      </c>
      <c r="S22" s="75"/>
      <c r="T22" s="75"/>
      <c r="U22" s="75"/>
    </row>
    <row r="23" ht="15.2" spans="1:21">
      <c r="A23" s="84" t="s">
        <v>43</v>
      </c>
      <c r="B23" s="85" t="s">
        <v>44</v>
      </c>
      <c r="C23" s="86" t="s">
        <v>45</v>
      </c>
      <c r="D23" s="87">
        <v>7300</v>
      </c>
      <c r="E23" s="67">
        <f>$F$16/($D23*$C$6)</f>
        <v>3.53424657534247</v>
      </c>
      <c r="F23" s="67">
        <f t="shared" ref="F23:Q23" si="2">$F$17/($D23*$C$6)</f>
        <v>3.67808219178082</v>
      </c>
      <c r="G23" s="67">
        <f t="shared" si="2"/>
        <v>3.67808219178082</v>
      </c>
      <c r="H23" s="67">
        <f t="shared" si="2"/>
        <v>3.67808219178082</v>
      </c>
      <c r="I23" s="67">
        <f t="shared" si="2"/>
        <v>3.67808219178082</v>
      </c>
      <c r="J23" s="67">
        <f t="shared" si="2"/>
        <v>3.67808219178082</v>
      </c>
      <c r="K23" s="67">
        <f t="shared" si="2"/>
        <v>3.67808219178082</v>
      </c>
      <c r="L23" s="67">
        <f t="shared" si="2"/>
        <v>3.67808219178082</v>
      </c>
      <c r="M23" s="67">
        <f t="shared" si="2"/>
        <v>3.67808219178082</v>
      </c>
      <c r="N23" s="67">
        <f t="shared" si="2"/>
        <v>3.67808219178082</v>
      </c>
      <c r="O23" s="67">
        <f t="shared" si="2"/>
        <v>3.67808219178082</v>
      </c>
      <c r="P23" s="67">
        <f t="shared" si="2"/>
        <v>3.67808219178082</v>
      </c>
      <c r="Q23" s="67">
        <f t="shared" si="2"/>
        <v>3.67808219178082</v>
      </c>
      <c r="S23" s="59"/>
      <c r="T23" s="59"/>
      <c r="U23" s="59"/>
    </row>
    <row r="24" ht="19" spans="1:21">
      <c r="A24" s="48"/>
      <c r="B24" s="48"/>
      <c r="C24" s="88" t="s">
        <v>157</v>
      </c>
      <c r="D24" s="87" t="e">
        <f>#REF!</f>
        <v>#REF!</v>
      </c>
      <c r="E24" s="67" t="e">
        <f>($F$16)/($D24*$C$6)</f>
        <v>#REF!</v>
      </c>
      <c r="F24" s="67" t="e">
        <f t="shared" ref="F24:H24" si="3">($F$16+$F$17)/($D24*$C$6)</f>
        <v>#REF!</v>
      </c>
      <c r="G24" s="67" t="e">
        <f t="shared" si="3"/>
        <v>#REF!</v>
      </c>
      <c r="H24" s="67" t="e">
        <f t="shared" si="3"/>
        <v>#REF!</v>
      </c>
      <c r="I24" s="67" t="e">
        <f t="shared" ref="I24:J24" si="4">($F$16)/($D24*$C$6)</f>
        <v>#REF!</v>
      </c>
      <c r="J24" s="67" t="e">
        <f t="shared" si="4"/>
        <v>#REF!</v>
      </c>
      <c r="K24" s="67" t="e">
        <f t="shared" ref="K24:K25" si="5">($F$16+$F$17)/($D24*$C$6)</f>
        <v>#REF!</v>
      </c>
      <c r="L24" s="67" t="e">
        <f t="shared" ref="L24:L25" si="6">($F$16)/($D24*$C$6)</f>
        <v>#REF!</v>
      </c>
      <c r="M24" s="67" t="e">
        <f t="shared" ref="M24:M25" si="7">($F$16+$F$17)/($D24*$C$6)</f>
        <v>#REF!</v>
      </c>
      <c r="N24" s="67" t="e">
        <f t="shared" ref="N24:N25" si="8">($F$16)/($D24*$C$6)</f>
        <v>#REF!</v>
      </c>
      <c r="O24" s="67" t="e">
        <f t="shared" ref="O24:O25" si="9">($F$16+$F$17)/($D24*$C$6)</f>
        <v>#REF!</v>
      </c>
      <c r="P24" s="67" t="e">
        <f t="shared" ref="P24:P25" si="10">($F$16)/($D24*$C$6)</f>
        <v>#REF!</v>
      </c>
      <c r="Q24" s="67" t="e">
        <f t="shared" ref="Q24:Q25" si="11">($F$16+$F$17)/($D24*$C$6)</f>
        <v>#REF!</v>
      </c>
      <c r="S24" s="59"/>
      <c r="T24" s="59"/>
      <c r="U24" s="59"/>
    </row>
    <row r="25" ht="15.2" spans="1:21">
      <c r="A25" s="48"/>
      <c r="B25" s="48"/>
      <c r="C25" s="86" t="s">
        <v>158</v>
      </c>
      <c r="D25" s="87" t="e">
        <f>#REF!</f>
        <v>#REF!</v>
      </c>
      <c r="E25" s="67" t="e">
        <f>$F$16/($D25*$C$6)</f>
        <v>#REF!</v>
      </c>
      <c r="F25" s="67" t="e">
        <f t="shared" ref="F25:H25" si="12">($F$16+$F$17)/($D25*$C$6)</f>
        <v>#REF!</v>
      </c>
      <c r="G25" s="67" t="e">
        <f t="shared" si="12"/>
        <v>#REF!</v>
      </c>
      <c r="H25" s="67" t="e">
        <f t="shared" si="12"/>
        <v>#REF!</v>
      </c>
      <c r="I25" s="67" t="e">
        <f t="shared" ref="I25:J25" si="13">($F$16)/($D25*$C$6)</f>
        <v>#REF!</v>
      </c>
      <c r="J25" s="67" t="e">
        <f t="shared" si="13"/>
        <v>#REF!</v>
      </c>
      <c r="K25" s="67" t="e">
        <f t="shared" si="5"/>
        <v>#REF!</v>
      </c>
      <c r="L25" s="67" t="e">
        <f t="shared" si="6"/>
        <v>#REF!</v>
      </c>
      <c r="M25" s="67" t="e">
        <f t="shared" si="7"/>
        <v>#REF!</v>
      </c>
      <c r="N25" s="67" t="e">
        <f t="shared" si="8"/>
        <v>#REF!</v>
      </c>
      <c r="O25" s="67" t="e">
        <f t="shared" si="9"/>
        <v>#REF!</v>
      </c>
      <c r="P25" s="67" t="e">
        <f t="shared" si="10"/>
        <v>#REF!</v>
      </c>
      <c r="Q25" s="67" t="e">
        <f t="shared" si="11"/>
        <v>#REF!</v>
      </c>
      <c r="S25" s="59"/>
      <c r="T25" s="59"/>
      <c r="U25" s="59"/>
    </row>
    <row r="26" ht="15.2" spans="1:21">
      <c r="A26" s="48"/>
      <c r="B26" s="48"/>
      <c r="C26" s="86" t="s">
        <v>159</v>
      </c>
      <c r="D26" s="89" t="e">
        <f>#REF!*(1+20%)</f>
        <v>#REF!</v>
      </c>
      <c r="E26" s="67" t="e">
        <f>($F$16)/($D26*$C$6)</f>
        <v>#REF!</v>
      </c>
      <c r="F26" s="67"/>
      <c r="G26" s="108">
        <f>(2+1.8)*3</f>
        <v>11.4</v>
      </c>
      <c r="H26" s="109">
        <f>36*3</f>
        <v>108</v>
      </c>
      <c r="I26" s="67">
        <f t="shared" ref="I26:J26" si="14">12*3</f>
        <v>36</v>
      </c>
      <c r="J26" s="67">
        <f t="shared" si="14"/>
        <v>36</v>
      </c>
      <c r="K26" s="109">
        <f>35*3</f>
        <v>105</v>
      </c>
      <c r="L26" s="67"/>
      <c r="M26" s="109">
        <f>35*3</f>
        <v>105</v>
      </c>
      <c r="N26" s="67"/>
      <c r="O26" s="109">
        <f>37*3</f>
        <v>111</v>
      </c>
      <c r="P26" s="67">
        <f>5*3</f>
        <v>15</v>
      </c>
      <c r="Q26" s="109">
        <f>30*3</f>
        <v>90</v>
      </c>
      <c r="S26" s="59"/>
      <c r="T26" s="59"/>
      <c r="U26" s="59"/>
    </row>
    <row r="27" ht="15.2" spans="1:21">
      <c r="A27" s="48"/>
      <c r="B27" s="48"/>
      <c r="C27" s="86" t="s">
        <v>160</v>
      </c>
      <c r="D27" s="87" t="e">
        <f>#REF!</f>
        <v>#REF!</v>
      </c>
      <c r="E27" s="67"/>
      <c r="F27" s="67" t="e">
        <f>($F$16+$F$17)/($D27*$C$6)</f>
        <v>#REF!</v>
      </c>
      <c r="G27" s="108"/>
      <c r="H27" s="48"/>
      <c r="I27" s="67"/>
      <c r="J27" s="67"/>
      <c r="K27" s="48"/>
      <c r="L27" s="67"/>
      <c r="M27" s="48"/>
      <c r="N27" s="67"/>
      <c r="O27" s="48"/>
      <c r="P27" s="67"/>
      <c r="Q27" s="48"/>
      <c r="S27" s="59"/>
      <c r="T27" s="59"/>
      <c r="U27" s="59"/>
    </row>
    <row r="28" ht="19" spans="1:21">
      <c r="A28" s="48"/>
      <c r="B28" s="90" t="s">
        <v>54</v>
      </c>
      <c r="C28" s="88" t="s">
        <v>161</v>
      </c>
      <c r="D28" s="89">
        <v>2000</v>
      </c>
      <c r="E28" s="67">
        <f>$F$16/($D28*$C$6)</f>
        <v>12.9</v>
      </c>
      <c r="F28" s="67"/>
      <c r="G28" s="108">
        <f>(7.6+6.9)*3</f>
        <v>43.5</v>
      </c>
      <c r="H28" s="48"/>
      <c r="I28" s="67"/>
      <c r="J28" s="67"/>
      <c r="K28" s="48"/>
      <c r="L28" s="67"/>
      <c r="M28" s="48"/>
      <c r="N28" s="67"/>
      <c r="O28" s="48"/>
      <c r="P28" s="67">
        <f>7*3</f>
        <v>21</v>
      </c>
      <c r="Q28" s="48"/>
      <c r="S28" s="59"/>
      <c r="T28" s="59"/>
      <c r="U28" s="59"/>
    </row>
    <row r="29" ht="19" spans="1:21">
      <c r="A29" s="48"/>
      <c r="B29" s="48"/>
      <c r="C29" s="88" t="s">
        <v>162</v>
      </c>
      <c r="D29" s="87">
        <v>900</v>
      </c>
      <c r="E29" s="67"/>
      <c r="F29" s="67">
        <f>($F$16+$F$17)/($D29*$C$6)</f>
        <v>58.5</v>
      </c>
      <c r="G29" s="108"/>
      <c r="H29" s="48"/>
      <c r="I29" s="67"/>
      <c r="J29" s="67"/>
      <c r="K29" s="48"/>
      <c r="L29" s="67">
        <f>(30+21)*3</f>
        <v>153</v>
      </c>
      <c r="M29" s="48"/>
      <c r="N29" s="67">
        <f>20*3</f>
        <v>60</v>
      </c>
      <c r="O29" s="48"/>
      <c r="P29" s="67"/>
      <c r="Q29" s="48"/>
      <c r="S29" s="59"/>
      <c r="T29" s="59"/>
      <c r="U29" s="59"/>
    </row>
    <row r="30" ht="15.2" spans="1:21">
      <c r="A30" s="48"/>
      <c r="B30" s="48"/>
      <c r="C30" s="86" t="s">
        <v>163</v>
      </c>
      <c r="D30" s="87">
        <v>360</v>
      </c>
      <c r="E30" s="67">
        <f>$F$17/($D30*$C$6)</f>
        <v>74.5833333333333</v>
      </c>
      <c r="F30" s="67"/>
      <c r="G30" s="108"/>
      <c r="H30" s="48"/>
      <c r="I30" s="67">
        <f t="shared" ref="I30:J30" si="15">24*3</f>
        <v>72</v>
      </c>
      <c r="J30" s="67">
        <f t="shared" si="15"/>
        <v>72</v>
      </c>
      <c r="K30" s="48"/>
      <c r="L30" s="67"/>
      <c r="M30" s="48"/>
      <c r="N30" s="67"/>
      <c r="O30" s="48"/>
      <c r="P30" s="67"/>
      <c r="Q30" s="48"/>
      <c r="S30" s="59"/>
      <c r="T30" s="59"/>
      <c r="U30" s="59"/>
    </row>
    <row r="31" ht="15.2" spans="1:21">
      <c r="A31" s="48"/>
      <c r="B31" s="48"/>
      <c r="C31" s="86" t="s">
        <v>164</v>
      </c>
      <c r="D31" s="87" t="e">
        <f>#REF!</f>
        <v>#REF!</v>
      </c>
      <c r="E31" s="67" t="e">
        <f>$F$16/($D31*(1-50%)*$C$6)</f>
        <v>#REF!</v>
      </c>
      <c r="F31" s="67" t="e">
        <f>$F$16/($D31*$C$6)</f>
        <v>#REF!</v>
      </c>
      <c r="G31" s="108">
        <f>3.3*3</f>
        <v>9.9</v>
      </c>
      <c r="H31" s="48"/>
      <c r="I31" s="67">
        <f t="shared" ref="I31:J31" si="16">2*3</f>
        <v>6</v>
      </c>
      <c r="J31" s="67">
        <f t="shared" si="16"/>
        <v>6</v>
      </c>
      <c r="K31" s="48"/>
      <c r="L31" s="67">
        <f>6*3</f>
        <v>18</v>
      </c>
      <c r="M31" s="48"/>
      <c r="N31" s="109">
        <f>8*3</f>
        <v>24</v>
      </c>
      <c r="O31" s="48"/>
      <c r="P31" s="67">
        <f>5*3</f>
        <v>15</v>
      </c>
      <c r="Q31" s="48"/>
      <c r="S31" s="59"/>
      <c r="T31" s="59"/>
      <c r="U31" s="59"/>
    </row>
    <row r="32" ht="15.2" spans="1:21">
      <c r="A32" s="48"/>
      <c r="B32" s="49"/>
      <c r="C32" s="86" t="s">
        <v>165</v>
      </c>
      <c r="D32" s="87">
        <v>1800</v>
      </c>
      <c r="E32" s="67">
        <f t="shared" ref="E32:F32" si="17">$F$17/($D32*$C$6)</f>
        <v>14.9166666666667</v>
      </c>
      <c r="F32" s="67">
        <f t="shared" si="17"/>
        <v>14.9166666666667</v>
      </c>
      <c r="G32" s="108">
        <f>13*3</f>
        <v>39</v>
      </c>
      <c r="H32" s="48"/>
      <c r="I32" s="67">
        <f t="shared" ref="I32:J32" si="18">6*3</f>
        <v>18</v>
      </c>
      <c r="J32" s="67">
        <f t="shared" si="18"/>
        <v>18</v>
      </c>
      <c r="K32" s="48"/>
      <c r="L32" s="67">
        <f>37</f>
        <v>37</v>
      </c>
      <c r="M32" s="48"/>
      <c r="N32" s="49"/>
      <c r="O32" s="49"/>
      <c r="P32" s="67">
        <f>14*3</f>
        <v>42</v>
      </c>
      <c r="Q32" s="48"/>
      <c r="S32" s="59"/>
      <c r="T32" s="59"/>
      <c r="U32" s="59"/>
    </row>
    <row r="33" ht="28" spans="1:21">
      <c r="A33" s="48"/>
      <c r="B33" s="90" t="s">
        <v>67</v>
      </c>
      <c r="C33" s="88" t="s">
        <v>166</v>
      </c>
      <c r="D33" s="87" t="e">
        <f>#REF!*(1-50%)</f>
        <v>#REF!</v>
      </c>
      <c r="E33" s="67" t="e">
        <f t="shared" ref="E33:Q33" si="19">$F$17/($D33*$C$6)</f>
        <v>#REF!</v>
      </c>
      <c r="F33" s="67" t="e">
        <f t="shared" si="19"/>
        <v>#REF!</v>
      </c>
      <c r="G33" s="67" t="e">
        <f t="shared" si="19"/>
        <v>#REF!</v>
      </c>
      <c r="H33" s="67" t="e">
        <f t="shared" si="19"/>
        <v>#REF!</v>
      </c>
      <c r="I33" s="67" t="e">
        <f t="shared" si="19"/>
        <v>#REF!</v>
      </c>
      <c r="J33" s="67" t="e">
        <f t="shared" si="19"/>
        <v>#REF!</v>
      </c>
      <c r="K33" s="67" t="e">
        <f t="shared" si="19"/>
        <v>#REF!</v>
      </c>
      <c r="L33" s="67" t="e">
        <f t="shared" si="19"/>
        <v>#REF!</v>
      </c>
      <c r="M33" s="67" t="e">
        <f t="shared" si="19"/>
        <v>#REF!</v>
      </c>
      <c r="N33" s="67" t="e">
        <f t="shared" si="19"/>
        <v>#REF!</v>
      </c>
      <c r="O33" s="67" t="e">
        <f t="shared" si="19"/>
        <v>#REF!</v>
      </c>
      <c r="P33" s="67" t="e">
        <f t="shared" si="19"/>
        <v>#REF!</v>
      </c>
      <c r="Q33" s="67" t="e">
        <f t="shared" si="19"/>
        <v>#REF!</v>
      </c>
      <c r="S33" s="59"/>
      <c r="T33" s="59"/>
      <c r="U33" s="59"/>
    </row>
    <row r="34" ht="15.2" spans="1:21">
      <c r="A34" s="48"/>
      <c r="B34" s="49"/>
      <c r="C34" s="86" t="s">
        <v>167</v>
      </c>
      <c r="D34" s="87" t="e">
        <f>#REF!</f>
        <v>#REF!</v>
      </c>
      <c r="E34" s="67" t="e">
        <f t="shared" ref="E34:Q34" si="20">$F$17/($D34*$C$6)</f>
        <v>#REF!</v>
      </c>
      <c r="F34" s="67" t="e">
        <f t="shared" si="20"/>
        <v>#REF!</v>
      </c>
      <c r="G34" s="67" t="e">
        <f t="shared" si="20"/>
        <v>#REF!</v>
      </c>
      <c r="H34" s="67" t="e">
        <f t="shared" si="20"/>
        <v>#REF!</v>
      </c>
      <c r="I34" s="67" t="e">
        <f t="shared" si="20"/>
        <v>#REF!</v>
      </c>
      <c r="J34" s="67" t="e">
        <f t="shared" si="20"/>
        <v>#REF!</v>
      </c>
      <c r="K34" s="67" t="e">
        <f t="shared" si="20"/>
        <v>#REF!</v>
      </c>
      <c r="L34" s="67" t="e">
        <f t="shared" si="20"/>
        <v>#REF!</v>
      </c>
      <c r="M34" s="67" t="e">
        <f t="shared" si="20"/>
        <v>#REF!</v>
      </c>
      <c r="N34" s="67" t="e">
        <f t="shared" si="20"/>
        <v>#REF!</v>
      </c>
      <c r="O34" s="67" t="e">
        <f t="shared" si="20"/>
        <v>#REF!</v>
      </c>
      <c r="P34" s="67" t="e">
        <f t="shared" si="20"/>
        <v>#REF!</v>
      </c>
      <c r="Q34" s="67" t="e">
        <f t="shared" si="20"/>
        <v>#REF!</v>
      </c>
      <c r="S34" s="59"/>
      <c r="T34" s="59"/>
      <c r="U34" s="59"/>
    </row>
    <row r="35" ht="15.2" spans="1:21">
      <c r="A35" s="48"/>
      <c r="B35" s="91" t="s">
        <v>70</v>
      </c>
      <c r="C35" s="42"/>
      <c r="D35" s="87" t="s">
        <v>73</v>
      </c>
      <c r="E35" s="67">
        <v>10</v>
      </c>
      <c r="F35" s="67">
        <v>10</v>
      </c>
      <c r="G35" s="67">
        <v>10</v>
      </c>
      <c r="H35" s="67">
        <v>10</v>
      </c>
      <c r="I35" s="67">
        <v>10</v>
      </c>
      <c r="J35" s="67">
        <v>10</v>
      </c>
      <c r="K35" s="67">
        <v>10</v>
      </c>
      <c r="L35" s="67">
        <v>10</v>
      </c>
      <c r="M35" s="67">
        <v>10</v>
      </c>
      <c r="N35" s="67">
        <v>10</v>
      </c>
      <c r="O35" s="67">
        <v>10</v>
      </c>
      <c r="P35" s="67">
        <v>10</v>
      </c>
      <c r="Q35" s="67">
        <v>10</v>
      </c>
      <c r="S35" s="39"/>
      <c r="T35" s="39"/>
      <c r="U35" s="39"/>
    </row>
    <row r="36" ht="15.2" spans="1:21">
      <c r="A36" s="48"/>
      <c r="B36" s="91" t="s">
        <v>71</v>
      </c>
      <c r="C36" s="42"/>
      <c r="D36" s="86" t="s">
        <v>73</v>
      </c>
      <c r="E36" s="45">
        <v>9</v>
      </c>
      <c r="F36" s="45">
        <v>9</v>
      </c>
      <c r="G36" s="45">
        <v>9</v>
      </c>
      <c r="H36" s="45">
        <v>9</v>
      </c>
      <c r="I36" s="45">
        <v>9</v>
      </c>
      <c r="J36" s="45">
        <v>9</v>
      </c>
      <c r="K36" s="45">
        <v>9</v>
      </c>
      <c r="L36" s="45">
        <v>9</v>
      </c>
      <c r="M36" s="45">
        <v>9</v>
      </c>
      <c r="N36" s="45">
        <v>9</v>
      </c>
      <c r="O36" s="45">
        <v>9</v>
      </c>
      <c r="P36" s="45">
        <v>9</v>
      </c>
      <c r="Q36" s="45">
        <v>9</v>
      </c>
      <c r="S36" s="39"/>
      <c r="T36" s="39"/>
      <c r="U36" s="39"/>
    </row>
    <row r="37" ht="15.2" spans="1:21">
      <c r="A37" s="48"/>
      <c r="B37" s="92" t="s">
        <v>168</v>
      </c>
      <c r="C37" s="41"/>
      <c r="D37" s="93">
        <v>0.15</v>
      </c>
      <c r="E37" s="110"/>
      <c r="F37" s="110"/>
      <c r="G37" s="67" t="e">
        <f t="shared" ref="G37:Q37" si="21">$D$37*SUM(G23:G36)</f>
        <v>#REF!</v>
      </c>
      <c r="H37" s="67" t="e">
        <f t="shared" si="21"/>
        <v>#REF!</v>
      </c>
      <c r="I37" s="67" t="e">
        <f t="shared" si="21"/>
        <v>#REF!</v>
      </c>
      <c r="J37" s="67" t="e">
        <f t="shared" si="21"/>
        <v>#REF!</v>
      </c>
      <c r="K37" s="67" t="e">
        <f t="shared" si="21"/>
        <v>#REF!</v>
      </c>
      <c r="L37" s="67" t="e">
        <f t="shared" si="21"/>
        <v>#REF!</v>
      </c>
      <c r="M37" s="67" t="e">
        <f t="shared" si="21"/>
        <v>#REF!</v>
      </c>
      <c r="N37" s="67" t="e">
        <f t="shared" si="21"/>
        <v>#REF!</v>
      </c>
      <c r="O37" s="67" t="e">
        <f t="shared" si="21"/>
        <v>#REF!</v>
      </c>
      <c r="P37" s="67" t="e">
        <f t="shared" si="21"/>
        <v>#REF!</v>
      </c>
      <c r="Q37" s="67" t="e">
        <f t="shared" si="21"/>
        <v>#REF!</v>
      </c>
      <c r="S37" s="39"/>
      <c r="T37" s="39"/>
      <c r="U37" s="39"/>
    </row>
    <row r="38" ht="15.2" spans="1:21">
      <c r="A38" s="48"/>
      <c r="B38" s="91" t="s">
        <v>75</v>
      </c>
      <c r="C38" s="42"/>
      <c r="D38" s="86" t="s">
        <v>73</v>
      </c>
      <c r="E38" s="67" t="e">
        <f t="shared" ref="E38:Q38" si="22">SUM(E23:E37)*0.5/8</f>
        <v>#REF!</v>
      </c>
      <c r="F38" s="67" t="e">
        <f t="shared" si="22"/>
        <v>#REF!</v>
      </c>
      <c r="G38" s="67" t="e">
        <f t="shared" si="22"/>
        <v>#REF!</v>
      </c>
      <c r="H38" s="67" t="e">
        <f t="shared" si="22"/>
        <v>#REF!</v>
      </c>
      <c r="I38" s="67" t="e">
        <f t="shared" si="22"/>
        <v>#REF!</v>
      </c>
      <c r="J38" s="67" t="e">
        <f t="shared" si="22"/>
        <v>#REF!</v>
      </c>
      <c r="K38" s="67" t="e">
        <f t="shared" si="22"/>
        <v>#REF!</v>
      </c>
      <c r="L38" s="67" t="e">
        <f t="shared" si="22"/>
        <v>#REF!</v>
      </c>
      <c r="M38" s="67" t="e">
        <f t="shared" si="22"/>
        <v>#REF!</v>
      </c>
      <c r="N38" s="67" t="e">
        <f t="shared" si="22"/>
        <v>#REF!</v>
      </c>
      <c r="O38" s="67" t="e">
        <f t="shared" si="22"/>
        <v>#REF!</v>
      </c>
      <c r="P38" s="67" t="e">
        <f t="shared" si="22"/>
        <v>#REF!</v>
      </c>
      <c r="Q38" s="67" t="e">
        <f t="shared" si="22"/>
        <v>#REF!</v>
      </c>
      <c r="S38" s="39"/>
      <c r="T38" s="39"/>
      <c r="U38" s="39"/>
    </row>
    <row r="39" ht="15.2" spans="1:21">
      <c r="A39" s="48"/>
      <c r="B39" s="94" t="s">
        <v>169</v>
      </c>
      <c r="C39" s="41"/>
      <c r="D39" s="42"/>
      <c r="E39" s="68" t="e">
        <f t="shared" ref="E39:Q39" si="23">SUM(E23:E38)</f>
        <v>#REF!</v>
      </c>
      <c r="F39" s="68" t="e">
        <f t="shared" si="23"/>
        <v>#REF!</v>
      </c>
      <c r="G39" s="68" t="e">
        <f t="shared" si="23"/>
        <v>#REF!</v>
      </c>
      <c r="H39" s="68" t="e">
        <f t="shared" si="23"/>
        <v>#REF!</v>
      </c>
      <c r="I39" s="68" t="e">
        <f t="shared" si="23"/>
        <v>#REF!</v>
      </c>
      <c r="J39" s="68" t="e">
        <f t="shared" si="23"/>
        <v>#REF!</v>
      </c>
      <c r="K39" s="68" t="e">
        <f t="shared" si="23"/>
        <v>#REF!</v>
      </c>
      <c r="L39" s="68" t="e">
        <f t="shared" si="23"/>
        <v>#REF!</v>
      </c>
      <c r="M39" s="68" t="e">
        <f t="shared" si="23"/>
        <v>#REF!</v>
      </c>
      <c r="N39" s="68" t="e">
        <f t="shared" si="23"/>
        <v>#REF!</v>
      </c>
      <c r="O39" s="68" t="e">
        <f t="shared" si="23"/>
        <v>#REF!</v>
      </c>
      <c r="P39" s="68" t="e">
        <f t="shared" si="23"/>
        <v>#REF!</v>
      </c>
      <c r="Q39" s="68" t="e">
        <f t="shared" si="23"/>
        <v>#REF!</v>
      </c>
      <c r="S39" s="39"/>
      <c r="T39" s="39"/>
      <c r="U39" s="39"/>
    </row>
    <row r="40" ht="15.2" spans="1:21">
      <c r="A40" s="49"/>
      <c r="B40" s="94" t="s">
        <v>170</v>
      </c>
      <c r="C40" s="41"/>
      <c r="D40" s="42"/>
      <c r="E40" s="68" t="e">
        <f t="shared" ref="E40:Q40" si="24">E39*$C$9</f>
        <v>#REF!</v>
      </c>
      <c r="F40" s="68" t="e">
        <f t="shared" si="24"/>
        <v>#REF!</v>
      </c>
      <c r="G40" s="68" t="e">
        <f t="shared" si="24"/>
        <v>#REF!</v>
      </c>
      <c r="H40" s="68" t="e">
        <f t="shared" si="24"/>
        <v>#REF!</v>
      </c>
      <c r="I40" s="68" t="e">
        <f t="shared" si="24"/>
        <v>#REF!</v>
      </c>
      <c r="J40" s="68" t="e">
        <f t="shared" si="24"/>
        <v>#REF!</v>
      </c>
      <c r="K40" s="68" t="e">
        <f t="shared" si="24"/>
        <v>#REF!</v>
      </c>
      <c r="L40" s="68" t="e">
        <f t="shared" si="24"/>
        <v>#REF!</v>
      </c>
      <c r="M40" s="68" t="e">
        <f t="shared" si="24"/>
        <v>#REF!</v>
      </c>
      <c r="N40" s="68" t="e">
        <f t="shared" si="24"/>
        <v>#REF!</v>
      </c>
      <c r="O40" s="68" t="e">
        <f t="shared" si="24"/>
        <v>#REF!</v>
      </c>
      <c r="P40" s="68" t="e">
        <f t="shared" si="24"/>
        <v>#REF!</v>
      </c>
      <c r="Q40" s="68" t="e">
        <f t="shared" si="24"/>
        <v>#REF!</v>
      </c>
      <c r="S40" s="59"/>
      <c r="T40" s="59"/>
      <c r="U40" s="59"/>
    </row>
    <row r="41" ht="15.2" spans="1:21">
      <c r="A41" s="82" t="s">
        <v>81</v>
      </c>
      <c r="B41" s="95" t="s">
        <v>83</v>
      </c>
      <c r="C41" s="57"/>
      <c r="D41" s="58"/>
      <c r="E41" s="69" t="e">
        <f t="shared" ref="E41:Q41" si="25">(E39*$C$8/12+E40*(12-$C$8)/12)*$C$4*$C$5*$C$7</f>
        <v>#REF!</v>
      </c>
      <c r="F41" s="69" t="e">
        <f t="shared" si="25"/>
        <v>#REF!</v>
      </c>
      <c r="G41" s="69" t="e">
        <f t="shared" si="25"/>
        <v>#REF!</v>
      </c>
      <c r="H41" s="69" t="e">
        <f t="shared" si="25"/>
        <v>#REF!</v>
      </c>
      <c r="I41" s="69" t="e">
        <f t="shared" si="25"/>
        <v>#REF!</v>
      </c>
      <c r="J41" s="69" t="e">
        <f t="shared" si="25"/>
        <v>#REF!</v>
      </c>
      <c r="K41" s="69" t="e">
        <f t="shared" si="25"/>
        <v>#REF!</v>
      </c>
      <c r="L41" s="69" t="e">
        <f t="shared" si="25"/>
        <v>#REF!</v>
      </c>
      <c r="M41" s="69" t="e">
        <f t="shared" si="25"/>
        <v>#REF!</v>
      </c>
      <c r="N41" s="69" t="e">
        <f t="shared" si="25"/>
        <v>#REF!</v>
      </c>
      <c r="O41" s="69" t="e">
        <f t="shared" si="25"/>
        <v>#REF!</v>
      </c>
      <c r="P41" s="69" t="e">
        <f t="shared" si="25"/>
        <v>#REF!</v>
      </c>
      <c r="Q41" s="69" t="e">
        <f t="shared" si="25"/>
        <v>#REF!</v>
      </c>
      <c r="S41" s="59"/>
      <c r="T41" s="59"/>
      <c r="U41" s="59"/>
    </row>
    <row r="42" ht="15.2" spans="1:21">
      <c r="A42" s="48"/>
      <c r="B42" s="95" t="s">
        <v>84</v>
      </c>
      <c r="C42" s="57"/>
      <c r="D42" s="58"/>
      <c r="E42" s="98"/>
      <c r="F42" s="71">
        <f>4450000</f>
        <v>4450000</v>
      </c>
      <c r="G42" s="71">
        <f>2242000+742000</f>
        <v>2984000</v>
      </c>
      <c r="H42" s="71">
        <v>5300000</v>
      </c>
      <c r="I42" s="71">
        <v>3600000</v>
      </c>
      <c r="J42" s="71">
        <v>3600000</v>
      </c>
      <c r="K42" s="71">
        <v>4750000</v>
      </c>
      <c r="L42" s="71">
        <v>12350000</v>
      </c>
      <c r="M42" s="71">
        <v>11500000</v>
      </c>
      <c r="N42" s="71">
        <v>5650000</v>
      </c>
      <c r="O42" s="71">
        <v>2000000</v>
      </c>
      <c r="P42" s="71">
        <v>2200000</v>
      </c>
      <c r="Q42" s="71">
        <v>6300000</v>
      </c>
      <c r="S42" s="59"/>
      <c r="T42" s="59"/>
      <c r="U42" s="59"/>
    </row>
    <row r="43" ht="15.2" spans="1:21">
      <c r="A43" s="48"/>
      <c r="B43" s="83" t="s">
        <v>171</v>
      </c>
      <c r="C43" s="41"/>
      <c r="D43" s="42"/>
      <c r="E43" s="98"/>
      <c r="F43" s="111" t="e">
        <f t="shared" ref="F43:Q43" si="26">F53</f>
        <v>#REF!</v>
      </c>
      <c r="G43" s="111" t="e">
        <f t="shared" si="26"/>
        <v>#REF!</v>
      </c>
      <c r="H43" s="111" t="e">
        <f t="shared" si="26"/>
        <v>#REF!</v>
      </c>
      <c r="I43" s="111" t="e">
        <f t="shared" si="26"/>
        <v>#REF!</v>
      </c>
      <c r="J43" s="111" t="e">
        <f t="shared" si="26"/>
        <v>#REF!</v>
      </c>
      <c r="K43" s="111" t="e">
        <f t="shared" si="26"/>
        <v>#REF!</v>
      </c>
      <c r="L43" s="111" t="e">
        <f t="shared" si="26"/>
        <v>#REF!</v>
      </c>
      <c r="M43" s="111" t="e">
        <f t="shared" si="26"/>
        <v>#REF!</v>
      </c>
      <c r="N43" s="111" t="e">
        <f t="shared" si="26"/>
        <v>#REF!</v>
      </c>
      <c r="O43" s="111" t="e">
        <f t="shared" si="26"/>
        <v>#REF!</v>
      </c>
      <c r="P43" s="111" t="e">
        <f t="shared" si="26"/>
        <v>#REF!</v>
      </c>
      <c r="Q43" s="111" t="e">
        <f t="shared" si="26"/>
        <v>#REF!</v>
      </c>
      <c r="S43" s="59"/>
      <c r="T43" s="59"/>
      <c r="U43" s="59"/>
    </row>
    <row r="44" ht="15.2" collapsed="1" spans="1:21">
      <c r="A44" s="49"/>
      <c r="B44" s="94" t="s">
        <v>172</v>
      </c>
      <c r="C44" s="41"/>
      <c r="D44" s="42"/>
      <c r="E44" s="79" t="e">
        <f t="shared" ref="E44:Q44" si="27">(E39*$C$6*$C$4)/$F$17</f>
        <v>#REF!</v>
      </c>
      <c r="F44" s="79" t="e">
        <f t="shared" si="27"/>
        <v>#REF!</v>
      </c>
      <c r="G44" s="79" t="e">
        <f t="shared" si="27"/>
        <v>#REF!</v>
      </c>
      <c r="H44" s="79" t="e">
        <f t="shared" si="27"/>
        <v>#REF!</v>
      </c>
      <c r="I44" s="79" t="e">
        <f t="shared" si="27"/>
        <v>#REF!</v>
      </c>
      <c r="J44" s="79" t="e">
        <f t="shared" si="27"/>
        <v>#REF!</v>
      </c>
      <c r="K44" s="79" t="e">
        <f t="shared" si="27"/>
        <v>#REF!</v>
      </c>
      <c r="L44" s="79" t="e">
        <f t="shared" si="27"/>
        <v>#REF!</v>
      </c>
      <c r="M44" s="79" t="e">
        <f t="shared" si="27"/>
        <v>#REF!</v>
      </c>
      <c r="N44" s="79" t="e">
        <f t="shared" si="27"/>
        <v>#REF!</v>
      </c>
      <c r="O44" s="79" t="e">
        <f t="shared" si="27"/>
        <v>#REF!</v>
      </c>
      <c r="P44" s="79" t="e">
        <f t="shared" si="27"/>
        <v>#REF!</v>
      </c>
      <c r="Q44" s="79" t="e">
        <f t="shared" si="27"/>
        <v>#REF!</v>
      </c>
      <c r="S44" s="59"/>
      <c r="T44" s="59"/>
      <c r="U44" s="59"/>
    </row>
    <row r="45" ht="15.2" hidden="1" outlineLevel="1" spans="1:21">
      <c r="A45" s="96" t="s">
        <v>90</v>
      </c>
      <c r="B45" s="97" t="s">
        <v>91</v>
      </c>
      <c r="C45" s="58"/>
      <c r="D45" s="98" t="s">
        <v>92</v>
      </c>
      <c r="E45" s="69" t="e">
        <f t="shared" ref="E45:Q45" si="28">E46/(1+$C$10)</f>
        <v>#REF!</v>
      </c>
      <c r="F45" s="69" t="e">
        <f t="shared" si="28"/>
        <v>#REF!</v>
      </c>
      <c r="G45" s="69" t="e">
        <f t="shared" si="28"/>
        <v>#REF!</v>
      </c>
      <c r="H45" s="69" t="e">
        <f t="shared" si="28"/>
        <v>#REF!</v>
      </c>
      <c r="I45" s="69" t="e">
        <f t="shared" si="28"/>
        <v>#REF!</v>
      </c>
      <c r="J45" s="69" t="e">
        <f t="shared" si="28"/>
        <v>#REF!</v>
      </c>
      <c r="K45" s="69" t="e">
        <f t="shared" si="28"/>
        <v>#REF!</v>
      </c>
      <c r="L45" s="69" t="e">
        <f t="shared" si="28"/>
        <v>#REF!</v>
      </c>
      <c r="M45" s="69" t="e">
        <f t="shared" si="28"/>
        <v>#REF!</v>
      </c>
      <c r="N45" s="69" t="e">
        <f t="shared" si="28"/>
        <v>#REF!</v>
      </c>
      <c r="O45" s="69" t="e">
        <f t="shared" si="28"/>
        <v>#REF!</v>
      </c>
      <c r="P45" s="69" t="e">
        <f t="shared" si="28"/>
        <v>#REF!</v>
      </c>
      <c r="Q45" s="69" t="e">
        <f t="shared" si="28"/>
        <v>#REF!</v>
      </c>
      <c r="S45" s="59"/>
      <c r="T45" s="59"/>
      <c r="U45" s="59"/>
    </row>
    <row r="46" ht="15.2" hidden="1" outlineLevel="1" spans="2:21">
      <c r="B46" s="99"/>
      <c r="C46" s="100"/>
      <c r="D46" s="98" t="s">
        <v>93</v>
      </c>
      <c r="E46" s="69" t="e">
        <f t="shared" ref="E46:Q46" si="29">E47/(1+$C$10)</f>
        <v>#REF!</v>
      </c>
      <c r="F46" s="69" t="e">
        <f t="shared" si="29"/>
        <v>#REF!</v>
      </c>
      <c r="G46" s="69" t="e">
        <f t="shared" si="29"/>
        <v>#REF!</v>
      </c>
      <c r="H46" s="69" t="e">
        <f t="shared" si="29"/>
        <v>#REF!</v>
      </c>
      <c r="I46" s="69" t="e">
        <f t="shared" si="29"/>
        <v>#REF!</v>
      </c>
      <c r="J46" s="69" t="e">
        <f t="shared" si="29"/>
        <v>#REF!</v>
      </c>
      <c r="K46" s="69" t="e">
        <f t="shared" si="29"/>
        <v>#REF!</v>
      </c>
      <c r="L46" s="69" t="e">
        <f t="shared" si="29"/>
        <v>#REF!</v>
      </c>
      <c r="M46" s="69" t="e">
        <f t="shared" si="29"/>
        <v>#REF!</v>
      </c>
      <c r="N46" s="69" t="e">
        <f t="shared" si="29"/>
        <v>#REF!</v>
      </c>
      <c r="O46" s="69" t="e">
        <f t="shared" si="29"/>
        <v>#REF!</v>
      </c>
      <c r="P46" s="69" t="e">
        <f t="shared" si="29"/>
        <v>#REF!</v>
      </c>
      <c r="Q46" s="69" t="e">
        <f t="shared" si="29"/>
        <v>#REF!</v>
      </c>
      <c r="S46" s="59"/>
      <c r="T46" s="59"/>
      <c r="U46" s="59"/>
    </row>
    <row r="47" ht="15.2" hidden="1" outlineLevel="1" spans="2:21">
      <c r="B47" s="99"/>
      <c r="C47" s="100"/>
      <c r="D47" s="98" t="s">
        <v>94</v>
      </c>
      <c r="E47" s="69" t="e">
        <f t="shared" ref="E47:Q47" si="30">E48/(1+$C$10)</f>
        <v>#REF!</v>
      </c>
      <c r="F47" s="69" t="e">
        <f t="shared" si="30"/>
        <v>#REF!</v>
      </c>
      <c r="G47" s="69" t="e">
        <f t="shared" si="30"/>
        <v>#REF!</v>
      </c>
      <c r="H47" s="69" t="e">
        <f t="shared" si="30"/>
        <v>#REF!</v>
      </c>
      <c r="I47" s="69" t="e">
        <f t="shared" si="30"/>
        <v>#REF!</v>
      </c>
      <c r="J47" s="69" t="e">
        <f t="shared" si="30"/>
        <v>#REF!</v>
      </c>
      <c r="K47" s="69" t="e">
        <f t="shared" si="30"/>
        <v>#REF!</v>
      </c>
      <c r="L47" s="69" t="e">
        <f t="shared" si="30"/>
        <v>#REF!</v>
      </c>
      <c r="M47" s="69" t="e">
        <f t="shared" si="30"/>
        <v>#REF!</v>
      </c>
      <c r="N47" s="69" t="e">
        <f t="shared" si="30"/>
        <v>#REF!</v>
      </c>
      <c r="O47" s="69" t="e">
        <f t="shared" si="30"/>
        <v>#REF!</v>
      </c>
      <c r="P47" s="69" t="e">
        <f t="shared" si="30"/>
        <v>#REF!</v>
      </c>
      <c r="Q47" s="69" t="e">
        <f t="shared" si="30"/>
        <v>#REF!</v>
      </c>
      <c r="S47" s="59"/>
      <c r="T47" s="59"/>
      <c r="U47" s="59"/>
    </row>
    <row r="48" ht="15.2" hidden="1" outlineLevel="1" spans="2:21">
      <c r="B48" s="101"/>
      <c r="C48" s="102"/>
      <c r="D48" s="98" t="s">
        <v>95</v>
      </c>
      <c r="E48" s="69" t="e">
        <f t="shared" ref="E48:Q48" si="31">E41</f>
        <v>#REF!</v>
      </c>
      <c r="F48" s="69" t="e">
        <f t="shared" si="31"/>
        <v>#REF!</v>
      </c>
      <c r="G48" s="69" t="e">
        <f t="shared" si="31"/>
        <v>#REF!</v>
      </c>
      <c r="H48" s="69" t="e">
        <f t="shared" si="31"/>
        <v>#REF!</v>
      </c>
      <c r="I48" s="69" t="e">
        <f t="shared" si="31"/>
        <v>#REF!</v>
      </c>
      <c r="J48" s="69" t="e">
        <f t="shared" si="31"/>
        <v>#REF!</v>
      </c>
      <c r="K48" s="69" t="e">
        <f t="shared" si="31"/>
        <v>#REF!</v>
      </c>
      <c r="L48" s="69" t="e">
        <f t="shared" si="31"/>
        <v>#REF!</v>
      </c>
      <c r="M48" s="69" t="e">
        <f t="shared" si="31"/>
        <v>#REF!</v>
      </c>
      <c r="N48" s="69" t="e">
        <f t="shared" si="31"/>
        <v>#REF!</v>
      </c>
      <c r="O48" s="69" t="e">
        <f t="shared" si="31"/>
        <v>#REF!</v>
      </c>
      <c r="P48" s="69" t="e">
        <f t="shared" si="31"/>
        <v>#REF!</v>
      </c>
      <c r="Q48" s="69" t="e">
        <f t="shared" si="31"/>
        <v>#REF!</v>
      </c>
      <c r="S48" s="59"/>
      <c r="T48" s="59"/>
      <c r="U48" s="59"/>
    </row>
    <row r="49" ht="15.2" hidden="1" outlineLevel="1" spans="2:21">
      <c r="B49" s="97" t="s">
        <v>96</v>
      </c>
      <c r="C49" s="58"/>
      <c r="D49" s="98" t="s">
        <v>97</v>
      </c>
      <c r="E49" s="112"/>
      <c r="F49" s="69" t="e">
        <f t="shared" ref="F49:Q49" si="32">$E45-F45</f>
        <v>#REF!</v>
      </c>
      <c r="G49" s="69" t="e">
        <f t="shared" si="32"/>
        <v>#REF!</v>
      </c>
      <c r="H49" s="69" t="e">
        <f t="shared" si="32"/>
        <v>#REF!</v>
      </c>
      <c r="I49" s="69" t="e">
        <f t="shared" si="32"/>
        <v>#REF!</v>
      </c>
      <c r="J49" s="69" t="e">
        <f t="shared" si="32"/>
        <v>#REF!</v>
      </c>
      <c r="K49" s="69" t="e">
        <f t="shared" si="32"/>
        <v>#REF!</v>
      </c>
      <c r="L49" s="69" t="e">
        <f t="shared" si="32"/>
        <v>#REF!</v>
      </c>
      <c r="M49" s="69" t="e">
        <f t="shared" si="32"/>
        <v>#REF!</v>
      </c>
      <c r="N49" s="69" t="e">
        <f t="shared" si="32"/>
        <v>#REF!</v>
      </c>
      <c r="O49" s="69" t="e">
        <f t="shared" si="32"/>
        <v>#REF!</v>
      </c>
      <c r="P49" s="69" t="e">
        <f t="shared" si="32"/>
        <v>#REF!</v>
      </c>
      <c r="Q49" s="69" t="e">
        <f t="shared" si="32"/>
        <v>#REF!</v>
      </c>
      <c r="S49" s="59"/>
      <c r="T49" s="59"/>
      <c r="U49" s="59"/>
    </row>
    <row r="50" ht="15.2" hidden="1" outlineLevel="1" spans="2:21">
      <c r="B50" s="99"/>
      <c r="C50" s="100"/>
      <c r="D50" s="98" t="s">
        <v>98</v>
      </c>
      <c r="E50" s="112"/>
      <c r="F50" s="69" t="e">
        <f t="shared" ref="F50:Q50" si="33">$E46-F46</f>
        <v>#REF!</v>
      </c>
      <c r="G50" s="69" t="e">
        <f t="shared" si="33"/>
        <v>#REF!</v>
      </c>
      <c r="H50" s="69" t="e">
        <f t="shared" si="33"/>
        <v>#REF!</v>
      </c>
      <c r="I50" s="69" t="e">
        <f t="shared" si="33"/>
        <v>#REF!</v>
      </c>
      <c r="J50" s="69" t="e">
        <f t="shared" si="33"/>
        <v>#REF!</v>
      </c>
      <c r="K50" s="69" t="e">
        <f t="shared" si="33"/>
        <v>#REF!</v>
      </c>
      <c r="L50" s="69" t="e">
        <f t="shared" si="33"/>
        <v>#REF!</v>
      </c>
      <c r="M50" s="69" t="e">
        <f t="shared" si="33"/>
        <v>#REF!</v>
      </c>
      <c r="N50" s="69" t="e">
        <f t="shared" si="33"/>
        <v>#REF!</v>
      </c>
      <c r="O50" s="69" t="e">
        <f t="shared" si="33"/>
        <v>#REF!</v>
      </c>
      <c r="P50" s="69" t="e">
        <f t="shared" si="33"/>
        <v>#REF!</v>
      </c>
      <c r="Q50" s="69" t="e">
        <f t="shared" si="33"/>
        <v>#REF!</v>
      </c>
      <c r="S50" s="59"/>
      <c r="T50" s="59"/>
      <c r="U50" s="59"/>
    </row>
    <row r="51" ht="15.2" hidden="1" outlineLevel="1" spans="2:21">
      <c r="B51" s="99"/>
      <c r="C51" s="100"/>
      <c r="D51" s="98" t="s">
        <v>99</v>
      </c>
      <c r="E51" s="112"/>
      <c r="F51" s="69" t="e">
        <f t="shared" ref="F51:Q51" si="34">$E47-F47</f>
        <v>#REF!</v>
      </c>
      <c r="G51" s="69" t="e">
        <f t="shared" si="34"/>
        <v>#REF!</v>
      </c>
      <c r="H51" s="69" t="e">
        <f t="shared" si="34"/>
        <v>#REF!</v>
      </c>
      <c r="I51" s="69" t="e">
        <f t="shared" si="34"/>
        <v>#REF!</v>
      </c>
      <c r="J51" s="69" t="e">
        <f t="shared" si="34"/>
        <v>#REF!</v>
      </c>
      <c r="K51" s="69" t="e">
        <f t="shared" si="34"/>
        <v>#REF!</v>
      </c>
      <c r="L51" s="69" t="e">
        <f t="shared" si="34"/>
        <v>#REF!</v>
      </c>
      <c r="M51" s="69" t="e">
        <f t="shared" si="34"/>
        <v>#REF!</v>
      </c>
      <c r="N51" s="69" t="e">
        <f t="shared" si="34"/>
        <v>#REF!</v>
      </c>
      <c r="O51" s="69" t="e">
        <f t="shared" si="34"/>
        <v>#REF!</v>
      </c>
      <c r="P51" s="69" t="e">
        <f t="shared" si="34"/>
        <v>#REF!</v>
      </c>
      <c r="Q51" s="69" t="e">
        <f t="shared" si="34"/>
        <v>#REF!</v>
      </c>
      <c r="S51" s="59"/>
      <c r="T51" s="59"/>
      <c r="U51" s="59"/>
    </row>
    <row r="52" ht="15.2" hidden="1" outlineLevel="1" spans="2:21">
      <c r="B52" s="101"/>
      <c r="C52" s="102"/>
      <c r="D52" s="98" t="s">
        <v>100</v>
      </c>
      <c r="E52" s="98"/>
      <c r="F52" s="69" t="e">
        <f t="shared" ref="F52:Q52" si="35">$E48-F48</f>
        <v>#REF!</v>
      </c>
      <c r="G52" s="69" t="e">
        <f t="shared" si="35"/>
        <v>#REF!</v>
      </c>
      <c r="H52" s="69" t="e">
        <f t="shared" si="35"/>
        <v>#REF!</v>
      </c>
      <c r="I52" s="69" t="e">
        <f t="shared" si="35"/>
        <v>#REF!</v>
      </c>
      <c r="J52" s="69" t="e">
        <f t="shared" si="35"/>
        <v>#REF!</v>
      </c>
      <c r="K52" s="69" t="e">
        <f t="shared" si="35"/>
        <v>#REF!</v>
      </c>
      <c r="L52" s="69" t="e">
        <f t="shared" si="35"/>
        <v>#REF!</v>
      </c>
      <c r="M52" s="69" t="e">
        <f t="shared" si="35"/>
        <v>#REF!</v>
      </c>
      <c r="N52" s="69" t="e">
        <f t="shared" si="35"/>
        <v>#REF!</v>
      </c>
      <c r="O52" s="69" t="e">
        <f t="shared" si="35"/>
        <v>#REF!</v>
      </c>
      <c r="P52" s="69" t="e">
        <f t="shared" si="35"/>
        <v>#REF!</v>
      </c>
      <c r="Q52" s="69" t="e">
        <f t="shared" si="35"/>
        <v>#REF!</v>
      </c>
      <c r="S52" s="59"/>
      <c r="T52" s="59"/>
      <c r="U52" s="59"/>
    </row>
    <row r="53" ht="15.2" hidden="1" outlineLevel="1" spans="2:21">
      <c r="B53" s="103" t="s">
        <v>173</v>
      </c>
      <c r="C53" s="41"/>
      <c r="D53" s="42"/>
      <c r="E53" s="110"/>
      <c r="F53" s="72" t="e">
        <f t="shared" ref="F53:Q53" si="36">IF(F49&gt;F42,F42/F49,IF((F49+F50)&gt;F42,1+(F42-F49)/F50,IF((F49+F50+F51)&gt;F42,2+(F42-F49-F50)/F51,IF((F49+F50+F51+F52)&gt;F42,3+(F42-F49-F50-F51)/F52,"&gt;4 years"))))</f>
        <v>#REF!</v>
      </c>
      <c r="G53" s="72" t="e">
        <f t="shared" si="36"/>
        <v>#REF!</v>
      </c>
      <c r="H53" s="72" t="e">
        <f t="shared" si="36"/>
        <v>#REF!</v>
      </c>
      <c r="I53" s="72" t="e">
        <f t="shared" si="36"/>
        <v>#REF!</v>
      </c>
      <c r="J53" s="72" t="e">
        <f t="shared" si="36"/>
        <v>#REF!</v>
      </c>
      <c r="K53" s="72" t="e">
        <f t="shared" si="36"/>
        <v>#REF!</v>
      </c>
      <c r="L53" s="72" t="e">
        <f t="shared" si="36"/>
        <v>#REF!</v>
      </c>
      <c r="M53" s="72" t="e">
        <f t="shared" si="36"/>
        <v>#REF!</v>
      </c>
      <c r="N53" s="72" t="e">
        <f t="shared" si="36"/>
        <v>#REF!</v>
      </c>
      <c r="O53" s="72" t="e">
        <f t="shared" si="36"/>
        <v>#REF!</v>
      </c>
      <c r="P53" s="72" t="e">
        <f t="shared" si="36"/>
        <v>#REF!</v>
      </c>
      <c r="Q53" s="72" t="e">
        <f t="shared" si="36"/>
        <v>#REF!</v>
      </c>
      <c r="S53" s="59"/>
      <c r="T53" s="59"/>
      <c r="U53" s="59"/>
    </row>
    <row r="54" ht="15.2" spans="1:2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ht="15.2" spans="1:2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ht="15.2" spans="1:2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ht="15.2" spans="1:2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ht="15.2" spans="1:2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ht="15.2" spans="1:2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ht="15.2" spans="1:2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ht="15.2" spans="1:2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ht="15.2" spans="1:2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ht="15.2" spans="1:2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</row>
    <row r="64" ht="15.2" spans="1:2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</row>
    <row r="65" ht="15.2" spans="1:2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</row>
    <row r="66" ht="15.2" spans="1:2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</row>
    <row r="67" ht="15.2" spans="1:2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</row>
    <row r="68" ht="15.2" spans="1:2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</row>
    <row r="69" ht="15.2" spans="1:2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</row>
    <row r="70" ht="15.2" spans="1:2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</row>
    <row r="71" ht="15.2" spans="1:2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</row>
    <row r="72" ht="15.2" spans="1:2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</row>
    <row r="73" ht="15.2" spans="1:2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</row>
    <row r="74" ht="15.2" spans="1:2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</row>
    <row r="75" ht="15.2" spans="1:2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</row>
    <row r="76" ht="15.2" spans="1:2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</row>
    <row r="77" ht="15.2" spans="1:2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</row>
    <row r="78" ht="15.2" spans="1:2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</row>
    <row r="79" ht="15.2" spans="1:2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</row>
    <row r="80" ht="15.2" spans="1:2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</row>
    <row r="81" ht="15.2" spans="1:2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</row>
    <row r="82" ht="15.2" spans="1:2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</row>
    <row r="83" ht="15.2" spans="1:2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</row>
    <row r="84" ht="15.2" spans="1:2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</row>
    <row r="85" ht="15.2" spans="1:2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</row>
    <row r="86" ht="15.2" spans="1:2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</row>
    <row r="87" ht="15.2" spans="1:2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</row>
    <row r="88" ht="15.2" spans="1:2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</row>
    <row r="89" ht="15.2" spans="1:2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</row>
    <row r="90" ht="15.2" spans="1:2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</row>
    <row r="91" ht="15.2" spans="1:2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</row>
    <row r="92" ht="15.2" spans="1:2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</row>
    <row r="93" ht="15.2" spans="1:2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</row>
    <row r="94" ht="15.2" spans="1:2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</row>
    <row r="95" ht="15.2" spans="1:2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</row>
    <row r="96" ht="15.2" spans="1:2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</row>
    <row r="97" ht="15.2" spans="1:2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</row>
    <row r="98" ht="15.2" spans="1:2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</row>
    <row r="99" ht="15.2" spans="1:2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</row>
    <row r="100" ht="15.2" spans="1:2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</row>
    <row r="101" ht="15.2" spans="1:2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</row>
    <row r="102" ht="15.2" spans="1:2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ht="15.2" spans="1:2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</row>
    <row r="104" ht="15.2" spans="1:2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</row>
    <row r="105" ht="15.2" spans="1:2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ht="15.2" spans="1:2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</row>
    <row r="107" ht="15.2" spans="1:2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</row>
    <row r="108" ht="15.2" spans="1:2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</row>
    <row r="109" ht="15.2" spans="1:2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</row>
    <row r="110" ht="15.2" spans="1:2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</row>
    <row r="111" ht="15.2" spans="1:2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</row>
    <row r="112" ht="15.2" spans="1:2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</row>
    <row r="113" ht="15.2" spans="1:2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</row>
    <row r="114" ht="15.2" spans="1:2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</row>
    <row r="115" ht="15.2" spans="1:2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</row>
    <row r="116" ht="15.2" spans="1:2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</row>
    <row r="117" ht="15.2" spans="1:2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</row>
    <row r="118" ht="15.2" spans="1:2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</row>
    <row r="119" ht="15.2" spans="1:2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</row>
    <row r="120" ht="15.2" spans="1:2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</row>
    <row r="121" ht="15.2" spans="1: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</row>
    <row r="122" ht="15.2" spans="1:2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</row>
    <row r="123" ht="15.2" spans="1:2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</row>
    <row r="124" ht="15.2" spans="1:2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</row>
    <row r="125" ht="15.2" spans="1:2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</row>
    <row r="126" ht="15.2" spans="1:2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</row>
    <row r="127" ht="15.2" spans="1:2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</row>
    <row r="128" ht="15.2" spans="1:2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</row>
    <row r="129" ht="15.2" spans="1:2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</row>
    <row r="130" ht="15.2" spans="1:2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</row>
    <row r="131" ht="15.2" spans="1:2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</row>
    <row r="132" ht="15.2" spans="1:2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</row>
    <row r="133" ht="15.2" spans="1:2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</row>
    <row r="134" ht="15.2" spans="1:2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</row>
    <row r="135" ht="15.2" spans="1:2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</row>
    <row r="136" ht="15.2" spans="1:2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</row>
    <row r="137" ht="15.2" spans="1:2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</row>
    <row r="138" ht="15.2" spans="1:2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</row>
    <row r="139" ht="15.2" spans="1:2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</row>
    <row r="140" ht="15.2" spans="1:2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</row>
    <row r="141" ht="15.2" spans="1:2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</row>
    <row r="142" ht="15.2" spans="1:2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</row>
    <row r="143" ht="15.2" spans="1:2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</row>
    <row r="144" ht="15.2" spans="1:2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</row>
    <row r="145" ht="15.2" spans="1:2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</row>
    <row r="146" ht="15.2" spans="1:2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</row>
    <row r="147" ht="15.2" spans="1:2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</row>
    <row r="148" ht="15.2" spans="1:2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</row>
    <row r="149" ht="15.2" spans="1:2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</row>
    <row r="150" ht="15.2" spans="1:2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</row>
    <row r="151" ht="15.2" spans="1:2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</row>
    <row r="152" ht="15.2" spans="1:2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</row>
    <row r="153" ht="15.2" spans="1:2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</row>
    <row r="154" ht="15.2" spans="1:2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</row>
    <row r="155" ht="15.2" spans="1:2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</row>
    <row r="156" ht="15.2" spans="1:2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</row>
    <row r="157" ht="15.2" spans="1:2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</row>
    <row r="158" ht="15.2" spans="1:2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</row>
    <row r="159" ht="15.2" spans="1:2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</row>
    <row r="160" ht="15.2" spans="1:2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</row>
    <row r="161" ht="15.2" spans="1:2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</row>
    <row r="162" ht="15.2" spans="1:2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</row>
    <row r="163" ht="15.2" spans="1:2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</row>
    <row r="164" ht="15.2" spans="1:2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</row>
    <row r="165" ht="15.2" spans="1:2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</row>
    <row r="166" ht="15.2" spans="1:2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</row>
    <row r="167" ht="15.2" spans="1:2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</row>
    <row r="168" ht="15.2" spans="1:2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</row>
    <row r="169" ht="15.2" spans="1:2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</row>
    <row r="170" ht="15.2" spans="1:2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</row>
    <row r="171" ht="15.2" spans="1:2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</row>
    <row r="172" ht="15.2" spans="1:2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</row>
    <row r="173" ht="15.2" spans="1:2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</row>
    <row r="174" ht="15.2" spans="1:2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</row>
    <row r="175" ht="15.2" spans="1:2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</row>
    <row r="176" ht="15.2" spans="1:2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</row>
    <row r="177" ht="15.2" spans="1:2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</row>
    <row r="178" ht="15.2" spans="1:2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</row>
    <row r="179" ht="15.2" spans="1:2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</row>
    <row r="180" ht="15.2" spans="1:2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</row>
    <row r="181" ht="15.2" spans="1:2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</row>
    <row r="182" ht="15.2" spans="1:2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</row>
    <row r="183" ht="15.2" spans="1:2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</row>
    <row r="184" ht="15.2" spans="1:2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</row>
    <row r="185" ht="15.2" spans="1:2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</row>
    <row r="186" ht="15.2" spans="1:2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</row>
    <row r="187" ht="15.2" spans="1:2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</row>
    <row r="188" ht="15.2" spans="1:2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</row>
    <row r="189" ht="15.2" spans="1:2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</row>
    <row r="190" ht="15.2" spans="1:2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</row>
    <row r="191" ht="15.2" spans="1:2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</row>
    <row r="192" ht="15.2" spans="1:2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</row>
    <row r="193" ht="15.2" spans="1:2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</row>
    <row r="194" ht="15.2" spans="1:2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</row>
    <row r="195" ht="15.2" spans="1:2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</row>
    <row r="196" ht="15.2" spans="1:2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</row>
    <row r="197" ht="15.2" spans="1:2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</row>
    <row r="198" ht="15.2" spans="1:2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</row>
    <row r="199" ht="15.2" spans="1:2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</row>
    <row r="200" ht="15.2" spans="1:2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</row>
    <row r="201" ht="15.2" spans="1:2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</row>
    <row r="202" ht="15.2" spans="1:2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</row>
    <row r="203" ht="15.2" spans="1:2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</row>
    <row r="204" ht="15.2" spans="1:2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</row>
    <row r="205" ht="15.2" spans="1:2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</row>
    <row r="206" ht="15.2" spans="1:2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</row>
    <row r="207" ht="15.2" spans="1:2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</row>
    <row r="208" ht="15.2" spans="1:2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</row>
    <row r="209" ht="15.2" spans="1:2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</row>
    <row r="210" ht="15.2" spans="1:2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</row>
    <row r="211" ht="15.2" spans="1:2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</row>
    <row r="212" ht="15.2" spans="1:2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</row>
    <row r="213" ht="15.2" spans="1:2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</row>
    <row r="214" ht="15.2" spans="1:2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</row>
    <row r="215" ht="15.2" spans="1:2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</row>
    <row r="216" ht="15.2" spans="1:2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</row>
    <row r="217" ht="15.2" spans="1:2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</row>
    <row r="218" ht="15.2" spans="1:2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</row>
    <row r="219" ht="15.2" spans="1:2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</row>
    <row r="220" ht="15.2" spans="1:2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</row>
    <row r="221" ht="15.2" spans="1: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</row>
    <row r="222" ht="15.2" spans="1:2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</row>
    <row r="223" ht="15.2" spans="1:2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</row>
    <row r="224" ht="15.2" spans="1:2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</row>
    <row r="225" ht="15.2" spans="1:2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</row>
    <row r="226" ht="15.2" spans="1:2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</row>
    <row r="227" ht="15.2" spans="1:2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</row>
    <row r="228" ht="15.2" spans="1:2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</row>
    <row r="229" ht="15.2" spans="1:2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</row>
    <row r="230" ht="15.2" spans="1:2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</row>
    <row r="231" ht="15.2" spans="1:2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</row>
    <row r="232" ht="15.2" spans="1:2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</row>
    <row r="233" ht="15.2" spans="1:2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</row>
    <row r="234" ht="15.2" spans="1:2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</row>
    <row r="235" ht="15.2" spans="1:2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</row>
    <row r="236" ht="15.2" spans="1:2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</row>
    <row r="237" ht="15.2" spans="1:2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</row>
    <row r="238" ht="15.2" spans="1:2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</row>
    <row r="239" ht="15.2" spans="1:2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</row>
    <row r="240" ht="15.2" spans="1:2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</row>
    <row r="241" ht="15.2" spans="1:2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</row>
    <row r="242" ht="15.2" spans="1:2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</row>
    <row r="243" ht="15.2" spans="1:2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</row>
    <row r="244" ht="15.2" spans="1:2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</row>
    <row r="245" ht="15.2" spans="1:2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</row>
    <row r="246" ht="15.2" spans="1:2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</row>
    <row r="247" ht="15.2" spans="1:2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</row>
    <row r="248" ht="15.2" spans="1:2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</row>
    <row r="249" ht="15.2" spans="1:2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</row>
    <row r="250" ht="15.2" spans="1:2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</row>
    <row r="251" ht="15.2" spans="1:2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</row>
    <row r="252" ht="15.2" spans="1:2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</row>
    <row r="253" ht="15.2" spans="1:2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</row>
    <row r="254" ht="15.2" spans="1:2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</row>
    <row r="255" ht="15.2" spans="1:2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</row>
    <row r="256" ht="15.2" spans="1:2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</row>
    <row r="257" ht="15.2" spans="1:2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</row>
    <row r="258" ht="15.2" spans="1:2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</row>
    <row r="259" ht="15.2" spans="1:2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</row>
    <row r="260" ht="15.2" spans="1:2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</row>
    <row r="261" ht="15.2" spans="1:2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</row>
    <row r="262" ht="15.2" spans="1:2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</row>
    <row r="263" ht="15.2" spans="1:2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</row>
    <row r="264" ht="15.2" spans="1:2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</row>
    <row r="265" ht="15.2" spans="1:2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</row>
    <row r="266" ht="15.2" spans="1:2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</row>
    <row r="267" ht="15.2" spans="1:2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</row>
    <row r="268" ht="15.2" spans="1:2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</row>
    <row r="269" ht="15.2" spans="1:2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</row>
    <row r="270" ht="15.2" spans="1:2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</row>
    <row r="271" ht="15.2" spans="1:2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</row>
    <row r="272" ht="15.2" spans="1:2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</row>
    <row r="273" ht="15.2" spans="1:2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</row>
    <row r="274" ht="15.2" spans="1:2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</row>
    <row r="275" ht="15.2" spans="1:2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</row>
    <row r="276" ht="15.2" spans="1:2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</row>
    <row r="277" ht="15.2" spans="1:2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</row>
    <row r="278" ht="15.2" spans="1:2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</row>
    <row r="279" ht="15.2" spans="1:2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</row>
    <row r="280" ht="15.2" spans="1:2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</row>
    <row r="281" ht="15.2" spans="1:2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</row>
    <row r="282" ht="15.2" spans="1:2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</row>
    <row r="283" ht="15.2" spans="1:2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</row>
    <row r="284" ht="15.2" spans="1:2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</row>
    <row r="285" ht="15.2" spans="1:2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</row>
    <row r="286" ht="15.2" spans="1:2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</row>
    <row r="287" ht="15.2" spans="1:2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</row>
    <row r="288" ht="15.2" spans="1:2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</row>
    <row r="289" ht="15.2" spans="1:2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</row>
    <row r="290" ht="15.2" spans="1:2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</row>
    <row r="291" ht="15.2" spans="1:2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</row>
    <row r="292" ht="15.2" spans="1:2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</row>
    <row r="293" ht="15.2" spans="1:2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</row>
    <row r="294" ht="15.2" spans="1:2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</row>
    <row r="295" ht="15.2" spans="1:2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</row>
    <row r="296" ht="15.2" spans="1:2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</row>
    <row r="297" ht="15.2" spans="1:2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</row>
    <row r="298" ht="15.2" spans="1:2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</row>
    <row r="299" ht="15.2" spans="1:2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</row>
    <row r="300" ht="15.2" spans="1:2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</row>
    <row r="301" ht="15.2" spans="1:2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</row>
    <row r="302" ht="15.2" spans="1:2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</row>
    <row r="303" ht="15.2" spans="1:2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</row>
    <row r="304" ht="15.2" spans="1:2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</row>
    <row r="305" ht="15.2" spans="1:2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</row>
    <row r="306" ht="15.2" spans="1:2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</row>
    <row r="307" ht="15.2" spans="1:2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</row>
    <row r="308" ht="15.2" spans="1:2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</row>
    <row r="309" ht="15.2" spans="1:2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</row>
    <row r="310" ht="15.2" spans="1:2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</row>
    <row r="311" ht="15.2" spans="1:2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</row>
    <row r="312" ht="15.2" spans="1:2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</row>
    <row r="313" ht="15.2" spans="1:2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</row>
    <row r="314" ht="15.2" spans="1:2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</row>
    <row r="315" ht="15.2" spans="1:2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</row>
    <row r="316" ht="15.2" spans="1:2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</row>
    <row r="317" ht="15.2" spans="1:2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</row>
    <row r="318" ht="15.2" spans="1:2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</row>
    <row r="319" ht="15.2" spans="1:2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</row>
    <row r="320" ht="15.2" spans="1:2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</row>
    <row r="321" ht="15.2" spans="1: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</row>
    <row r="322" ht="15.2" spans="1:2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</row>
    <row r="323" ht="15.2" spans="1:2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</row>
    <row r="324" ht="15.2" spans="1:2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</row>
    <row r="325" ht="15.2" spans="1:2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</row>
    <row r="326" ht="15.2" spans="1:2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</row>
    <row r="327" ht="15.2" spans="1:2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</row>
    <row r="328" ht="15.2" spans="1:2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</row>
    <row r="329" ht="15.2" spans="1:2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</row>
    <row r="330" ht="15.2" spans="1:2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</row>
    <row r="331" ht="15.2" spans="1:2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</row>
    <row r="332" ht="15.2" spans="1:2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</row>
    <row r="333" ht="15.2" spans="1:2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</row>
    <row r="334" ht="15.2" spans="1:2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</row>
    <row r="335" ht="15.2" spans="1:2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</row>
    <row r="336" ht="15.2" spans="1:2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</row>
    <row r="337" ht="15.2" spans="1:2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</row>
    <row r="338" ht="15.2" spans="1:2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</row>
    <row r="339" ht="15.2" spans="1:2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</row>
    <row r="340" ht="15.2" spans="1:2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</row>
    <row r="341" ht="15.2" spans="1:2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</row>
    <row r="342" ht="15.2" spans="1:2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</row>
    <row r="343" ht="15.2" spans="1:2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</row>
    <row r="344" ht="15.2" spans="1:2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</row>
    <row r="345" ht="15.2" spans="1:2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</row>
    <row r="346" ht="15.2" spans="1:2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</row>
    <row r="347" ht="15.2" spans="1:2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</row>
    <row r="348" ht="15.2" spans="1:2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</row>
    <row r="349" ht="15.2" spans="1:2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</row>
    <row r="350" ht="15.2" spans="1:2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</row>
    <row r="351" ht="15.2" spans="1:2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</row>
    <row r="352" ht="15.2" spans="1:2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</row>
    <row r="353" ht="15.2" spans="1:2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</row>
    <row r="354" ht="15.2" spans="1:2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</row>
    <row r="355" ht="15.2" spans="1:2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</row>
    <row r="356" ht="15.2" spans="1:2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</row>
    <row r="357" ht="15.2" spans="1:2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</row>
    <row r="358" ht="15.2" spans="1:2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</row>
    <row r="359" ht="15.2" spans="1:2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</row>
    <row r="360" ht="15.2" spans="1:2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</row>
    <row r="361" ht="15.2" spans="1:2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</row>
    <row r="362" ht="15.2" spans="1:2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</row>
    <row r="363" ht="15.2" spans="1:2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</row>
    <row r="364" ht="15.2" spans="1:2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</row>
    <row r="365" ht="15.2" spans="1:2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</row>
    <row r="366" ht="15.2" spans="1:2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</row>
    <row r="367" ht="15.2" spans="1:2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</row>
    <row r="368" ht="15.2" spans="1:2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</row>
    <row r="369" ht="15.2" spans="1:2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</row>
    <row r="370" ht="15.2" spans="1:2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</row>
    <row r="371" ht="15.2" spans="1:2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</row>
    <row r="372" ht="15.2" spans="1:2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</row>
    <row r="373" ht="15.2" spans="1:2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</row>
    <row r="374" ht="15.2" spans="1:2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</row>
    <row r="375" ht="15.2" spans="1:2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</row>
    <row r="376" ht="15.2" spans="1:2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</row>
    <row r="377" ht="15.2" spans="1:2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</row>
    <row r="378" ht="15.2" spans="1:2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</row>
    <row r="379" ht="15.2" spans="1:2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</row>
    <row r="380" ht="15.2" spans="1:2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</row>
    <row r="381" ht="15.2" spans="1:2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</row>
    <row r="382" ht="15.2" spans="1:2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</row>
    <row r="383" ht="15.2" spans="1:2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</row>
    <row r="384" ht="15.2" spans="1:2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</row>
    <row r="385" ht="15.2" spans="1:2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</row>
    <row r="386" ht="15.2" spans="1:2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</row>
    <row r="387" ht="15.2" spans="1:2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</row>
    <row r="388" ht="15.2" spans="1:2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</row>
    <row r="389" ht="15.2" spans="1:2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</row>
    <row r="390" ht="15.2" spans="1:2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</row>
    <row r="391" ht="15.2" spans="1:2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</row>
    <row r="392" ht="15.2" spans="1:2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</row>
    <row r="393" ht="15.2" spans="1:2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</row>
    <row r="394" ht="15.2" spans="1:2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</row>
    <row r="395" ht="15.2" spans="1:2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</row>
    <row r="396" ht="15.2" spans="1:2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</row>
    <row r="397" ht="15.2" spans="1:2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</row>
    <row r="398" ht="15.2" spans="1:2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</row>
    <row r="399" ht="15.2" spans="1:2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</row>
    <row r="400" ht="15.2" spans="1:2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</row>
    <row r="401" ht="15.2" spans="1:2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</row>
    <row r="402" ht="15.2" spans="1:2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</row>
    <row r="403" ht="15.2" spans="1:2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</row>
    <row r="404" ht="15.2" spans="1:2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</row>
    <row r="405" ht="15.2" spans="1:2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</row>
    <row r="406" ht="15.2" spans="1:2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</row>
    <row r="407" ht="15.2" spans="1:2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</row>
    <row r="408" ht="15.2" spans="1:2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</row>
    <row r="409" ht="15.2" spans="1:2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</row>
    <row r="410" ht="15.2" spans="1:2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</row>
    <row r="411" ht="15.2" spans="1:2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</row>
    <row r="412" ht="15.2" spans="1:2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</row>
    <row r="413" ht="15.2" spans="1:2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</row>
    <row r="414" ht="15.2" spans="1:2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</row>
    <row r="415" ht="15.2" spans="1:2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</row>
    <row r="416" ht="15.2" spans="1:2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</row>
    <row r="417" ht="15.2" spans="1:2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</row>
    <row r="418" ht="15.2" spans="1:2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</row>
    <row r="419" ht="15.2" spans="1:2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</row>
    <row r="420" ht="15.2" spans="1:2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</row>
    <row r="421" ht="15.2" spans="1: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</row>
    <row r="422" ht="15.2" spans="1:2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</row>
    <row r="423" ht="15.2" spans="1:2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</row>
    <row r="424" ht="15.2" spans="1:2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</row>
    <row r="425" ht="15.2" spans="1:2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</row>
    <row r="426" ht="15.2" spans="1:2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</row>
    <row r="427" ht="15.2" spans="1:2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</row>
    <row r="428" ht="15.2" spans="1:2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</row>
    <row r="429" ht="15.2" spans="1:2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</row>
    <row r="430" ht="15.2" spans="1:2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</row>
    <row r="431" ht="15.2" spans="1:2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</row>
    <row r="432" ht="15.2" spans="1:2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</row>
    <row r="433" ht="15.2" spans="1:2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</row>
    <row r="434" ht="15.2" spans="1:2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</row>
    <row r="435" ht="15.2" spans="1:2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</row>
    <row r="436" ht="15.2" spans="1:2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</row>
    <row r="437" ht="15.2" spans="1:2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</row>
    <row r="438" ht="15.2" spans="1:2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</row>
    <row r="439" ht="15.2" spans="1:2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</row>
    <row r="440" ht="15.2" spans="1:2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</row>
    <row r="441" ht="15.2" spans="1:2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</row>
    <row r="442" ht="15.2" spans="1:2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</row>
    <row r="443" ht="15.2" spans="1:2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</row>
    <row r="444" ht="15.2" spans="1:2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</row>
    <row r="445" ht="15.2" spans="1:2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</row>
    <row r="446" ht="15.2" spans="1:2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</row>
    <row r="447" ht="15.2" spans="1:2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</row>
    <row r="448" ht="15.2" spans="1:2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</row>
    <row r="449" ht="15.2" spans="1:2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</row>
    <row r="450" ht="15.2" spans="1:2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</row>
    <row r="451" ht="15.2" spans="1:2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</row>
    <row r="452" ht="15.2" spans="1:2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</row>
    <row r="453" ht="15.2" spans="1:2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</row>
    <row r="454" ht="15.2" spans="1:2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</row>
    <row r="455" ht="15.2" spans="1:2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</row>
    <row r="456" ht="15.2" spans="1:2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</row>
    <row r="457" ht="15.2" spans="1:2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</row>
    <row r="458" ht="15.2" spans="1:2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</row>
    <row r="459" ht="15.2" spans="1:2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</row>
    <row r="460" ht="15.2" spans="1:2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</row>
    <row r="461" ht="15.2" spans="1:2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</row>
    <row r="462" ht="15.2" spans="1:2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</row>
    <row r="463" ht="15.2" spans="1:2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</row>
    <row r="464" ht="15.2" spans="1:2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</row>
    <row r="465" ht="15.2" spans="1:2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</row>
    <row r="466" ht="15.2" spans="1:2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</row>
    <row r="467" ht="15.2" spans="1:2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</row>
    <row r="468" ht="15.2" spans="1:2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</row>
    <row r="469" ht="15.2" spans="1:2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</row>
    <row r="470" ht="15.2" spans="1:2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</row>
    <row r="471" ht="15.2" spans="1:2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</row>
    <row r="472" ht="15.2" spans="1:2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</row>
    <row r="473" ht="15.2" spans="1:2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</row>
    <row r="474" ht="15.2" spans="1:2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</row>
    <row r="475" ht="15.2" spans="1:2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</row>
    <row r="476" ht="15.2" spans="1:2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</row>
    <row r="477" ht="15.2" spans="1:2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</row>
    <row r="478" ht="15.2" spans="1:2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</row>
    <row r="479" ht="15.2" spans="1:2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</row>
    <row r="480" ht="15.2" spans="1:2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</row>
    <row r="481" ht="15.2" spans="1:2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</row>
    <row r="482" ht="15.2" spans="1:2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</row>
    <row r="483" ht="15.2" spans="1:2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</row>
    <row r="484" ht="15.2" spans="1:2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</row>
    <row r="485" ht="15.2" spans="1:2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</row>
    <row r="486" ht="15.2" spans="1:2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</row>
    <row r="487" ht="15.2" spans="1:2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</row>
    <row r="488" ht="15.2" spans="1:2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</row>
    <row r="489" ht="15.2" spans="1:2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</row>
    <row r="490" ht="15.2" spans="1:2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</row>
    <row r="491" ht="15.2" spans="1:2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</row>
    <row r="492" ht="15.2" spans="1:2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</row>
    <row r="493" ht="15.2" spans="1:2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</row>
    <row r="494" ht="15.2" spans="1:2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</row>
    <row r="495" ht="15.2" spans="1:2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</row>
    <row r="496" ht="15.2" spans="1:2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</row>
    <row r="497" ht="15.2" spans="1:2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</row>
    <row r="498" ht="15.2" spans="1:2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</row>
    <row r="499" ht="15.2" spans="1:2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</row>
    <row r="500" ht="15.2" spans="1:2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</row>
    <row r="501" ht="15.2" spans="1:2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</row>
    <row r="502" ht="15.2" spans="1:2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</row>
    <row r="503" ht="15.2" spans="1:2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</row>
    <row r="504" ht="15.2" spans="1:2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</row>
    <row r="505" ht="15.2" spans="1:2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</row>
    <row r="506" ht="15.2" spans="1:2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</row>
    <row r="507" ht="15.2" spans="1:2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</row>
    <row r="508" ht="15.2" spans="1:2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</row>
    <row r="509" ht="15.2" spans="1:2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</row>
    <row r="510" ht="15.2" spans="1:2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</row>
    <row r="511" ht="15.2" spans="1:2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</row>
    <row r="512" ht="15.2" spans="1:2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</row>
    <row r="513" ht="15.2" spans="1:2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</row>
    <row r="514" ht="15.2" spans="1:2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</row>
    <row r="515" ht="15.2" spans="1:2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</row>
    <row r="516" ht="15.2" spans="1:2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</row>
    <row r="517" ht="15.2" spans="1:2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</row>
    <row r="518" ht="15.2" spans="1:2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</row>
    <row r="519" ht="15.2" spans="1:2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</row>
    <row r="520" ht="15.2" spans="1:2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</row>
    <row r="521" ht="15.2" spans="1: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</row>
    <row r="522" ht="15.2" spans="1:2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</row>
    <row r="523" ht="15.2" spans="1:2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</row>
    <row r="524" ht="15.2" spans="1:2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</row>
    <row r="525" ht="15.2" spans="1:2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</row>
    <row r="526" ht="15.2" spans="1:2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</row>
    <row r="527" ht="15.2" spans="1:2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</row>
    <row r="528" ht="15.2" spans="1:2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</row>
    <row r="529" ht="15.2" spans="1:2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</row>
    <row r="530" ht="15.2" spans="1:2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</row>
    <row r="531" ht="15.2" spans="1:2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</row>
    <row r="532" ht="15.2" spans="1:2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</row>
    <row r="533" ht="15.2" spans="1:2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</row>
    <row r="534" ht="15.2" spans="1:2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</row>
    <row r="535" ht="15.2" spans="1:2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</row>
    <row r="536" ht="15.2" spans="1:2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</row>
    <row r="537" ht="15.2" spans="1:2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</row>
    <row r="538" ht="15.2" spans="1:2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</row>
    <row r="539" ht="15.2" spans="1:2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</row>
    <row r="540" ht="15.2" spans="1:2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</row>
    <row r="541" ht="15.2" spans="1:2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</row>
    <row r="542" ht="15.2" spans="1:2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</row>
    <row r="543" ht="15.2" spans="1:2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</row>
    <row r="544" ht="15.2" spans="1:2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</row>
    <row r="545" ht="15.2" spans="1:2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</row>
    <row r="546" ht="15.2" spans="1:2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</row>
    <row r="547" ht="15.2" spans="1:2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</row>
    <row r="548" ht="15.2" spans="1:2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</row>
    <row r="549" ht="15.2" spans="1:2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</row>
    <row r="550" ht="15.2" spans="1:2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</row>
    <row r="551" ht="15.2" spans="1:2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</row>
    <row r="552" ht="15.2" spans="1:2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</row>
    <row r="553" ht="15.2" spans="1:2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</row>
    <row r="554" ht="15.2" spans="1:2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</row>
    <row r="555" ht="15.2" spans="1:2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</row>
    <row r="556" ht="15.2" spans="1:2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</row>
    <row r="557" ht="15.2" spans="1:2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</row>
    <row r="558" ht="15.2" spans="1:2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</row>
    <row r="559" ht="15.2" spans="1:2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</row>
    <row r="560" ht="15.2" spans="1:2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</row>
    <row r="561" ht="15.2" spans="1:2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</row>
    <row r="562" ht="15.2" spans="1:2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</row>
    <row r="563" ht="15.2" spans="1:2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</row>
    <row r="564" ht="15.2" spans="1:2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</row>
    <row r="565" ht="15.2" spans="1:2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</row>
    <row r="566" ht="15.2" spans="1:2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</row>
    <row r="567" ht="15.2" spans="1:2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</row>
    <row r="568" ht="15.2" spans="1:2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</row>
    <row r="569" ht="15.2" spans="1:2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</row>
    <row r="570" ht="15.2" spans="1:2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</row>
    <row r="571" ht="15.2" spans="1:2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</row>
    <row r="572" ht="15.2" spans="1:2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</row>
    <row r="573" ht="15.2" spans="1:2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</row>
    <row r="574" ht="15.2" spans="1:2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</row>
    <row r="575" ht="15.2" spans="1:2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</row>
    <row r="576" ht="15.2" spans="1:2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</row>
    <row r="577" ht="15.2" spans="1:2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</row>
    <row r="578" ht="15.2" spans="1:2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</row>
    <row r="579" ht="15.2" spans="1:2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</row>
    <row r="580" ht="15.2" spans="1:2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</row>
    <row r="581" ht="15.2" spans="1:2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</row>
    <row r="582" ht="15.2" spans="1:2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</row>
    <row r="583" ht="15.2" spans="1:2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</row>
    <row r="584" ht="15.2" spans="1:2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</row>
    <row r="585" ht="15.2" spans="1:2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</row>
    <row r="586" ht="15.2" spans="1:2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</row>
    <row r="587" ht="15.2" spans="1:2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</row>
    <row r="588" ht="15.2" spans="1:2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</row>
    <row r="589" ht="15.2" spans="1:2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</row>
    <row r="590" ht="15.2" spans="1:2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</row>
    <row r="591" ht="15.2" spans="1:2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</row>
    <row r="592" ht="15.2" spans="1:2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</row>
    <row r="593" ht="15.2" spans="1:2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</row>
    <row r="594" ht="15.2" spans="1:2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</row>
    <row r="595" ht="15.2" spans="1:2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</row>
    <row r="596" ht="15.2" spans="1:2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</row>
    <row r="597" ht="15.2" spans="1:2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</row>
    <row r="598" ht="15.2" spans="1:2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</row>
    <row r="599" ht="15.2" spans="1:2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</row>
    <row r="600" ht="15.2" spans="1:2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</row>
    <row r="601" ht="15.2" spans="1:2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</row>
    <row r="602" ht="15.2" spans="1:2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</row>
    <row r="603" ht="15.2" spans="1:2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</row>
    <row r="604" ht="15.2" spans="1:2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</row>
    <row r="605" ht="15.2" spans="1:2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</row>
    <row r="606" ht="15.2" spans="1:2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</row>
    <row r="607" ht="15.2" spans="1:2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</row>
    <row r="608" ht="15.2" spans="1:2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</row>
    <row r="609" ht="15.2" spans="1:2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</row>
    <row r="610" ht="15.2" spans="1:2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</row>
    <row r="611" ht="15.2" spans="1:2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</row>
    <row r="612" ht="15.2" spans="1:2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</row>
    <row r="613" ht="15.2" spans="1:2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</row>
    <row r="614" ht="15.2" spans="1:2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</row>
    <row r="615" ht="15.2" spans="1:2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</row>
    <row r="616" ht="15.2" spans="1:2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</row>
    <row r="617" ht="15.2" spans="1:2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</row>
    <row r="618" ht="15.2" spans="1:2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</row>
    <row r="619" ht="15.2" spans="1:2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</row>
    <row r="620" ht="15.2" spans="1:2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</row>
    <row r="621" ht="15.2" spans="1: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</row>
    <row r="622" ht="15.2" spans="1:2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</row>
    <row r="623" ht="15.2" spans="1:2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</row>
    <row r="624" ht="15.2" spans="1:2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</row>
    <row r="625" ht="15.2" spans="1:2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</row>
    <row r="626" ht="15.2" spans="1:2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</row>
    <row r="627" ht="15.2" spans="1:2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</row>
    <row r="628" ht="15.2" spans="1:2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</row>
    <row r="629" ht="15.2" spans="1:2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</row>
    <row r="630" ht="15.2" spans="1:2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</row>
    <row r="631" ht="15.2" spans="1:2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</row>
    <row r="632" ht="15.2" spans="1:2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</row>
    <row r="633" ht="15.2" spans="1:2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</row>
    <row r="634" ht="15.2" spans="1:2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</row>
    <row r="635" ht="15.2" spans="1:2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</row>
    <row r="636" ht="15.2" spans="1:2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</row>
    <row r="637" ht="15.2" spans="1:2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</row>
    <row r="638" ht="15.2" spans="1:2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</row>
    <row r="639" ht="15.2" spans="1:2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</row>
    <row r="640" ht="15.2" spans="1:2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</row>
    <row r="641" ht="15.2" spans="1:2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</row>
    <row r="642" ht="15.2" spans="1:2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</row>
    <row r="643" ht="15.2" spans="1:2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</row>
    <row r="644" ht="15.2" spans="1:2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</row>
    <row r="645" ht="15.2" spans="1:2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</row>
    <row r="646" ht="15.2" spans="1:2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</row>
    <row r="647" ht="15.2" spans="1:2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</row>
    <row r="648" ht="15.2" spans="1:2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</row>
    <row r="649" ht="15.2" spans="1:2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</row>
    <row r="650" ht="15.2" spans="1:2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</row>
    <row r="651" ht="15.2" spans="1:2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</row>
    <row r="652" ht="15.2" spans="1:2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</row>
    <row r="653" ht="15.2" spans="1:2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</row>
    <row r="654" ht="15.2" spans="1:2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</row>
    <row r="655" ht="15.2" spans="1:2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</row>
    <row r="656" ht="15.2" spans="1:2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</row>
    <row r="657" ht="15.2" spans="1:2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</row>
    <row r="658" ht="15.2" spans="1:2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</row>
    <row r="659" ht="15.2" spans="1:2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</row>
    <row r="660" ht="15.2" spans="1:2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</row>
    <row r="661" ht="15.2" spans="1:2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</row>
    <row r="662" ht="15.2" spans="1:2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</row>
    <row r="663" ht="15.2" spans="1:2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</row>
    <row r="664" ht="15.2" spans="1:2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</row>
    <row r="665" ht="15.2" spans="1:2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</row>
    <row r="666" ht="15.2" spans="1:2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</row>
    <row r="667" ht="15.2" spans="1:2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</row>
    <row r="668" ht="15.2" spans="1:2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</row>
    <row r="669" ht="15.2" spans="1:2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</row>
    <row r="670" ht="15.2" spans="1:2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</row>
    <row r="671" ht="15.2" spans="1:2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</row>
    <row r="672" ht="15.2" spans="1:2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</row>
    <row r="673" ht="15.2" spans="1:2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</row>
    <row r="674" ht="15.2" spans="1:2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</row>
    <row r="675" ht="15.2" spans="1:2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</row>
    <row r="676" ht="15.2" spans="1:2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</row>
    <row r="677" ht="15.2" spans="1:2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</row>
    <row r="678" ht="15.2" spans="1:2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</row>
    <row r="679" ht="15.2" spans="1:2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</row>
    <row r="680" ht="15.2" spans="1:2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</row>
    <row r="681" ht="15.2" spans="1:2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</row>
    <row r="682" ht="15.2" spans="1:2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</row>
    <row r="683" ht="15.2" spans="1:2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</row>
    <row r="684" ht="15.2" spans="1:2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</row>
    <row r="685" ht="15.2" spans="1:2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</row>
    <row r="686" ht="15.2" spans="1:2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</row>
    <row r="687" ht="15.2" spans="1:2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</row>
    <row r="688" ht="15.2" spans="1:2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</row>
    <row r="689" ht="15.2" spans="1:2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</row>
    <row r="690" ht="15.2" spans="1:2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</row>
    <row r="691" ht="15.2" spans="1:2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</row>
    <row r="692" ht="15.2" spans="1:2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</row>
    <row r="693" ht="15.2" spans="1:2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</row>
    <row r="694" ht="15.2" spans="1:2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</row>
    <row r="695" ht="15.2" spans="1:2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</row>
    <row r="696" ht="15.2" spans="1:2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</row>
    <row r="697" ht="15.2" spans="1:2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</row>
    <row r="698" ht="15.2" spans="1:2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</row>
    <row r="699" ht="15.2" spans="1:2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</row>
    <row r="700" ht="15.2" spans="1:2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</row>
    <row r="701" ht="15.2" spans="1:2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</row>
    <row r="702" ht="15.2" spans="1:2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</row>
    <row r="703" ht="15.2" spans="1:2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</row>
    <row r="704" ht="15.2" spans="1:2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</row>
    <row r="705" ht="15.2" spans="1:2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</row>
    <row r="706" ht="15.2" spans="1:2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</row>
    <row r="707" ht="15.2" spans="1:2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</row>
    <row r="708" ht="15.2" spans="1:2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</row>
    <row r="709" ht="15.2" spans="1:2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</row>
    <row r="710" ht="15.2" spans="1:2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</row>
    <row r="711" ht="15.2" spans="1:2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</row>
    <row r="712" ht="15.2" spans="1:2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</row>
    <row r="713" ht="15.2" spans="1:2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</row>
    <row r="714" ht="15.2" spans="1:2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</row>
    <row r="715" ht="15.2" spans="1:2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</row>
    <row r="716" ht="15.2" spans="1:2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</row>
    <row r="717" ht="15.2" spans="1:2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</row>
    <row r="718" ht="15.2" spans="1:2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</row>
    <row r="719" ht="15.2" spans="1:2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</row>
    <row r="720" ht="15.2" spans="1:2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</row>
    <row r="721" ht="15.2" spans="1: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</row>
    <row r="722" ht="15.2" spans="1:2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</row>
    <row r="723" ht="15.2" spans="1:2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</row>
    <row r="724" ht="15.2" spans="1:2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</row>
    <row r="725" ht="15.2" spans="1:2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</row>
    <row r="726" ht="15.2" spans="1:2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</row>
    <row r="727" ht="15.2" spans="1:2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</row>
    <row r="728" ht="15.2" spans="1:2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</row>
    <row r="729" ht="15.2" spans="1:2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</row>
    <row r="730" ht="15.2" spans="1:2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</row>
    <row r="731" ht="15.2" spans="1:2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</row>
    <row r="732" ht="15.2" spans="1:2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</row>
    <row r="733" ht="15.2" spans="1:2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</row>
    <row r="734" ht="15.2" spans="1:2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</row>
    <row r="735" ht="15.2" spans="1:2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</row>
    <row r="736" ht="15.2" spans="1:2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</row>
    <row r="737" ht="15.2" spans="1:2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</row>
    <row r="738" ht="15.2" spans="1:2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</row>
    <row r="739" ht="15.2" spans="1:2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</row>
    <row r="740" ht="15.2" spans="1:2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</row>
    <row r="741" ht="15.2" spans="1:2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</row>
    <row r="742" ht="15.2" spans="1:2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</row>
    <row r="743" ht="15.2" spans="1:2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</row>
    <row r="744" ht="15.2" spans="1:2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</row>
    <row r="745" ht="15.2" spans="1:2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</row>
    <row r="746" ht="15.2" spans="1:2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</row>
    <row r="747" ht="15.2" spans="1:2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</row>
    <row r="748" ht="15.2" spans="1:2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</row>
    <row r="749" ht="15.2" spans="1:2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</row>
    <row r="750" ht="15.2" spans="1:2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</row>
    <row r="751" ht="15.2" spans="1:2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</row>
    <row r="752" ht="15.2" spans="1:2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</row>
    <row r="753" ht="15.2" spans="1:2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</row>
    <row r="754" ht="15.2" spans="1:2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</row>
    <row r="755" ht="15.2" spans="1:2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</row>
    <row r="756" ht="15.2" spans="1:2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</row>
    <row r="757" ht="15.2" spans="1:2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</row>
    <row r="758" ht="15.2" spans="1:2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</row>
    <row r="759" ht="15.2" spans="1:2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</row>
    <row r="760" ht="15.2" spans="1:2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</row>
    <row r="761" ht="15.2" spans="1:2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</row>
    <row r="762" ht="15.2" spans="1:2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</row>
    <row r="763" ht="15.2" spans="1:2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</row>
    <row r="764" ht="15.2" spans="1:2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</row>
    <row r="765" ht="15.2" spans="1:2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</row>
    <row r="766" ht="15.2" spans="1:2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</row>
    <row r="767" ht="15.2" spans="1:2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</row>
    <row r="768" ht="15.2" spans="1:2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</row>
    <row r="769" ht="15.2" spans="1:2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</row>
    <row r="770" ht="15.2" spans="1:2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</row>
    <row r="771" ht="15.2" spans="1:2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</row>
    <row r="772" ht="15.2" spans="1:2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</row>
    <row r="773" ht="15.2" spans="1:2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</row>
    <row r="774" ht="15.2" spans="1:2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</row>
    <row r="775" ht="15.2" spans="1:2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</row>
    <row r="776" ht="15.2" spans="1:2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</row>
    <row r="777" ht="15.2" spans="1:2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</row>
    <row r="778" ht="15.2" spans="1:2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</row>
    <row r="779" ht="15.2" spans="1:2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</row>
    <row r="780" ht="15.2" spans="1:2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</row>
    <row r="781" ht="15.2" spans="1:2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</row>
    <row r="782" ht="15.2" spans="1:2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</row>
    <row r="783" ht="15.2" spans="1:2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</row>
    <row r="784" ht="15.2" spans="1:2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</row>
    <row r="785" ht="15.2" spans="1:2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</row>
    <row r="786" ht="15.2" spans="1:2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</row>
    <row r="787" ht="15.2" spans="1:2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</row>
    <row r="788" ht="15.2" spans="1:2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</row>
    <row r="789" ht="15.2" spans="1:2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</row>
    <row r="790" ht="15.2" spans="1:2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</row>
    <row r="791" ht="15.2" spans="1:2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</row>
    <row r="792" ht="15.2" spans="1:2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</row>
    <row r="793" ht="15.2" spans="1:2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</row>
    <row r="794" ht="15.2" spans="1:2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</row>
    <row r="795" ht="15.2" spans="1:2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</row>
    <row r="796" ht="15.2" spans="1:2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</row>
    <row r="797" ht="15.2" spans="1:2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</row>
    <row r="798" ht="15.2" spans="1:2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</row>
    <row r="799" ht="15.2" spans="1:2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</row>
    <row r="800" ht="15.2" spans="1:2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</row>
    <row r="801" ht="15.2" spans="1:2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</row>
    <row r="802" ht="15.2" spans="1:2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</row>
    <row r="803" ht="15.2" spans="1:2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</row>
    <row r="804" ht="15.2" spans="1:2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</row>
    <row r="805" ht="15.2" spans="1:2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</row>
    <row r="806" ht="15.2" spans="1:2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</row>
    <row r="807" ht="15.2" spans="1:2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</row>
    <row r="808" ht="15.2" spans="1:2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</row>
    <row r="809" ht="15.2" spans="1:2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</row>
    <row r="810" ht="15.2" spans="1:2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</row>
    <row r="811" ht="15.2" spans="1:2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</row>
    <row r="812" ht="15.2" spans="1:2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</row>
    <row r="813" ht="15.2" spans="1:2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</row>
    <row r="814" ht="15.2" spans="1:2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</row>
    <row r="815" ht="15.2" spans="1:2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</row>
    <row r="816" ht="15.2" spans="1:2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</row>
    <row r="817" ht="15.2" spans="1:2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</row>
    <row r="818" ht="15.2" spans="1:2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</row>
    <row r="819" ht="15.2" spans="1:2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</row>
    <row r="820" ht="15.2" spans="1:2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</row>
    <row r="821" ht="15.2" spans="1: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</row>
    <row r="822" ht="15.2" spans="1:2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</row>
    <row r="823" ht="15.2" spans="1:2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</row>
    <row r="824" ht="15.2" spans="1:2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</row>
    <row r="825" ht="15.2" spans="1:2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</row>
    <row r="826" ht="15.2" spans="1:2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</row>
    <row r="827" ht="15.2" spans="1:2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</row>
    <row r="828" ht="15.2" spans="1:2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</row>
    <row r="829" ht="15.2" spans="1:2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</row>
    <row r="830" ht="15.2" spans="1:2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</row>
    <row r="831" ht="15.2" spans="1:2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</row>
    <row r="832" ht="15.2" spans="1:2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</row>
    <row r="833" ht="15.2" spans="1:2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</row>
    <row r="834" ht="15.2" spans="1:2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</row>
    <row r="835" ht="15.2" spans="1:2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</row>
    <row r="836" ht="15.2" spans="1:2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</row>
    <row r="837" ht="15.2" spans="1:2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</row>
    <row r="838" ht="15.2" spans="1:2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</row>
    <row r="839" ht="15.2" spans="1:2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</row>
    <row r="840" ht="15.2" spans="1:2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</row>
    <row r="841" ht="15.2" spans="1:2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</row>
    <row r="842" ht="15.2" spans="1:2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</row>
    <row r="843" ht="15.2" spans="1:2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</row>
    <row r="844" ht="15.2" spans="1:2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</row>
    <row r="845" ht="15.2" spans="1:2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</row>
    <row r="846" ht="15.2" spans="1:2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</row>
    <row r="847" ht="15.2" spans="1:2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</row>
    <row r="848" ht="15.2" spans="1:2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</row>
    <row r="849" ht="15.2" spans="1:2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</row>
    <row r="850" ht="15.2" spans="1:2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</row>
    <row r="851" ht="15.2" spans="1:2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</row>
    <row r="852" ht="15.2" spans="1:2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</row>
    <row r="853" ht="15.2" spans="1:2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</row>
    <row r="854" ht="15.2" spans="1:2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</row>
    <row r="855" ht="15.2" spans="1:2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</row>
    <row r="856" ht="15.2" spans="1:2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</row>
    <row r="857" ht="15.2" spans="1:2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</row>
    <row r="858" ht="15.2" spans="1:2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</row>
    <row r="859" ht="15.2" spans="1:2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</row>
    <row r="860" ht="15.2" spans="1:2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</row>
    <row r="861" ht="15.2" spans="1:2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</row>
    <row r="862" ht="15.2" spans="1:2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</row>
    <row r="863" ht="15.2" spans="1:2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</row>
    <row r="864" ht="15.2" spans="1:2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</row>
    <row r="865" ht="15.2" spans="1:2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</row>
    <row r="866" ht="15.2" spans="1:2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</row>
    <row r="867" ht="15.2" spans="1:2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</row>
    <row r="868" ht="15.2" spans="1:2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</row>
    <row r="869" ht="15.2" spans="1:2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</row>
    <row r="870" ht="15.2" spans="1:2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</row>
    <row r="871" ht="15.2" spans="1:2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</row>
    <row r="872" ht="15.2" spans="1:2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</row>
    <row r="873" ht="15.2" spans="1:2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</row>
    <row r="874" ht="15.2" spans="1:2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</row>
    <row r="875" ht="15.2" spans="1:2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</row>
    <row r="876" ht="15.2" spans="1:2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</row>
    <row r="877" ht="15.2" spans="1:2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</row>
    <row r="878" ht="15.2" spans="1:2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</row>
    <row r="879" ht="15.2" spans="1:2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</row>
    <row r="880" ht="15.2" spans="1:2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</row>
    <row r="881" ht="15.2" spans="1:2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</row>
    <row r="882" ht="15.2" spans="1:2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</row>
    <row r="883" ht="15.2" spans="1:2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</row>
    <row r="884" ht="15.2" spans="1:2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</row>
    <row r="885" ht="15.2" spans="1:2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</row>
    <row r="886" ht="15.2" spans="1:2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</row>
    <row r="887" ht="15.2" spans="1:2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</row>
    <row r="888" ht="15.2" spans="1:2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</row>
    <row r="889" ht="15.2" spans="1:2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</row>
    <row r="890" ht="15.2" spans="1:2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</row>
    <row r="891" ht="15.2" spans="1:2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</row>
    <row r="892" ht="15.2" spans="1:2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</row>
    <row r="893" ht="15.2" spans="1:2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</row>
    <row r="894" ht="15.2" spans="1:2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</row>
    <row r="895" ht="15.2" spans="1:2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</row>
    <row r="896" ht="15.2" spans="1:2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</row>
    <row r="897" ht="15.2" spans="1:2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</row>
    <row r="898" ht="15.2" spans="1:2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</row>
    <row r="899" ht="15.2" spans="1:2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</row>
    <row r="900" ht="15.2" spans="1:2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</row>
    <row r="901" ht="15.2" spans="1:2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</row>
    <row r="902" ht="15.2" spans="1:2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</row>
    <row r="903" ht="15.2" spans="1:2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</row>
    <row r="904" ht="15.2" spans="1:2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</row>
    <row r="905" ht="15.2" spans="1:2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</row>
    <row r="906" ht="15.2" spans="1:2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</row>
    <row r="907" ht="15.2" spans="1:2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</row>
    <row r="908" ht="15.2" spans="1:2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</row>
    <row r="909" ht="15.2" spans="1:2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</row>
    <row r="910" ht="15.2" spans="1:2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</row>
    <row r="911" ht="15.2" spans="1:2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</row>
    <row r="912" ht="15.2" spans="1:2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</row>
    <row r="913" ht="15.2" spans="1:2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</row>
    <row r="914" ht="15.2" spans="1:2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</row>
    <row r="915" ht="15.2" spans="1:2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</row>
    <row r="916" ht="15.2" spans="1:2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</row>
    <row r="917" ht="15.2" spans="1:2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</row>
    <row r="918" ht="15.2" spans="1:2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</row>
    <row r="919" ht="15.2" spans="1:2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</row>
    <row r="920" ht="15.2" spans="1:2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</row>
    <row r="921" ht="15.2" spans="1: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</row>
    <row r="922" ht="15.2" spans="1:2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</row>
    <row r="923" ht="15.2" spans="1:2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</row>
    <row r="924" ht="15.2" spans="1:2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</row>
    <row r="925" ht="15.2" spans="1:2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</row>
    <row r="926" ht="15.2" spans="1:2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</row>
    <row r="927" ht="15.2" spans="1:2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</row>
    <row r="928" ht="15.2" spans="1:2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</row>
    <row r="929" ht="15.2" spans="1:2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</row>
    <row r="930" ht="15.2" spans="1:2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</row>
    <row r="931" ht="15.2" spans="1:2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</row>
    <row r="932" ht="15.2" spans="1:2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</row>
    <row r="933" ht="15.2" spans="1:2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</row>
    <row r="934" ht="15.2" spans="1:2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</row>
    <row r="935" ht="15.2" spans="1:2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</row>
    <row r="936" ht="15.2" spans="1:2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</row>
    <row r="937" ht="15.2" spans="1:2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</row>
    <row r="938" ht="15.2" spans="1:2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</row>
    <row r="939" ht="15.2" spans="1:2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</row>
    <row r="940" ht="15.2" spans="1:2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</row>
    <row r="941" ht="15.2" spans="1:2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</row>
    <row r="942" ht="15.2" spans="1:2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</row>
    <row r="943" ht="15.2" spans="1:2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</row>
    <row r="944" ht="15.2" spans="1:2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</row>
    <row r="945" ht="15.2" spans="1:2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</row>
    <row r="946" ht="15.2" spans="1:2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</row>
    <row r="947" ht="15.2" spans="1:2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</row>
    <row r="948" ht="15.2" spans="1:2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</row>
    <row r="949" ht="15.2" spans="1:2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</row>
    <row r="950" ht="15.2" spans="1:2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</row>
    <row r="951" ht="15.2" spans="1:2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</row>
    <row r="952" ht="15.2" spans="1:2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</row>
    <row r="953" ht="15.2" spans="1:2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</row>
    <row r="954" ht="15.2" spans="1:2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</row>
    <row r="955" ht="15.2" spans="1:2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</row>
    <row r="956" ht="15.2" spans="1:2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</row>
    <row r="957" ht="15.2" spans="1:2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</row>
    <row r="958" ht="15.2" spans="1:2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</row>
    <row r="959" ht="15.2" spans="1:2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</row>
    <row r="960" ht="15.2" spans="1:2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</row>
    <row r="961" ht="15.2" spans="1:2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</row>
    <row r="962" ht="15.2" spans="1:2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</row>
    <row r="963" ht="15.2" spans="1:2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</row>
    <row r="964" ht="15.2" spans="1:2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</row>
    <row r="965" ht="15.2" spans="1:2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</row>
    <row r="966" ht="15.2" spans="1:2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</row>
    <row r="967" ht="15.2" spans="1:2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</row>
    <row r="968" ht="15.2" spans="1:2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</row>
    <row r="969" ht="15.2" spans="1:2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</row>
    <row r="970" ht="15.2" spans="1:2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</row>
    <row r="971" ht="15.2" spans="1:2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</row>
    <row r="972" ht="15.2" spans="1:2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</row>
    <row r="973" ht="15.2" spans="1:2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</row>
    <row r="974" ht="15.2" spans="1:2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</row>
    <row r="975" ht="15.2" spans="1:2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</row>
    <row r="976" ht="15.2" spans="1:2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</row>
    <row r="977" ht="15.2" spans="1:2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</row>
    <row r="978" ht="15.2" spans="1:2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</row>
    <row r="979" ht="15.2" spans="1:2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</row>
    <row r="980" ht="15.2" spans="1:2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</row>
    <row r="981" ht="15.2" spans="1:2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</row>
    <row r="982" ht="15.2" spans="1:2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</row>
    <row r="983" ht="15.2" spans="1:2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</row>
    <row r="984" ht="15.2" spans="1:2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</row>
    <row r="985" ht="15.2" spans="1:2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</row>
    <row r="986" ht="15.2" spans="1:2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</row>
    <row r="987" ht="15.2" spans="1:2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</row>
    <row r="988" ht="15.2" spans="1:2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</row>
    <row r="989" ht="15.2" spans="1:2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</row>
    <row r="990" ht="15.2" spans="1:2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</row>
    <row r="991" ht="15.2" spans="1:2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</row>
    <row r="992" ht="15.2" spans="1:2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</row>
    <row r="993" ht="15.2" spans="1:2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</row>
    <row r="994" ht="15.2" spans="1:2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</row>
    <row r="995" ht="15.2" spans="1:2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</row>
    <row r="996" ht="15.2" spans="1:2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</row>
    <row r="997" ht="15.2" spans="1:2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</row>
    <row r="998" ht="15.2" spans="1:2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</row>
    <row r="999" ht="15.2" spans="1:2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</row>
    <row r="1000" ht="15.2" spans="1:2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</row>
    <row r="1001" ht="15.2" spans="1:2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</row>
    <row r="1002" ht="15.2" spans="1:21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</row>
  </sheetData>
  <mergeCells count="44">
    <mergeCell ref="A3:C3"/>
    <mergeCell ref="A4:B4"/>
    <mergeCell ref="A5:B5"/>
    <mergeCell ref="A6:B6"/>
    <mergeCell ref="A7:B7"/>
    <mergeCell ref="A8:B8"/>
    <mergeCell ref="A9:B9"/>
    <mergeCell ref="A10:B10"/>
    <mergeCell ref="A12:F12"/>
    <mergeCell ref="A13:B13"/>
    <mergeCell ref="A14:B14"/>
    <mergeCell ref="A15:B15"/>
    <mergeCell ref="A16:B16"/>
    <mergeCell ref="A17:B17"/>
    <mergeCell ref="B19:D19"/>
    <mergeCell ref="B20:D20"/>
    <mergeCell ref="B21:D21"/>
    <mergeCell ref="B22:D22"/>
    <mergeCell ref="B35:C35"/>
    <mergeCell ref="B36:C36"/>
    <mergeCell ref="B37:C37"/>
    <mergeCell ref="B38:C38"/>
    <mergeCell ref="B39:D39"/>
    <mergeCell ref="B40:D40"/>
    <mergeCell ref="B41:D41"/>
    <mergeCell ref="B42:D42"/>
    <mergeCell ref="B43:D43"/>
    <mergeCell ref="B44:D44"/>
    <mergeCell ref="B53:D53"/>
    <mergeCell ref="A19:A22"/>
    <mergeCell ref="A23:A40"/>
    <mergeCell ref="A41:A44"/>
    <mergeCell ref="A45:A53"/>
    <mergeCell ref="B23:B27"/>
    <mergeCell ref="B28:B32"/>
    <mergeCell ref="B33:B34"/>
    <mergeCell ref="H26:H32"/>
    <mergeCell ref="K26:K32"/>
    <mergeCell ref="M26:M32"/>
    <mergeCell ref="N31:N32"/>
    <mergeCell ref="O26:O32"/>
    <mergeCell ref="Q26:Q32"/>
    <mergeCell ref="B45:C48"/>
    <mergeCell ref="B49:C52"/>
  </mergeCells>
  <conditionalFormatting sqref="F43:R4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hyperlinks>
    <hyperlink ref="B1" r:id="rId1" location="gid=1461799922" display="IB/OB Investment Case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02"/>
  <sheetViews>
    <sheetView showGridLines="0" workbookViewId="0">
      <selection activeCell="A1" sqref="A1"/>
    </sheetView>
  </sheetViews>
  <sheetFormatPr defaultColWidth="12.6339285714286" defaultRowHeight="15.75" customHeight="1"/>
  <cols>
    <col min="1" max="1" width="7.88392857142857" customWidth="1"/>
    <col min="2" max="2" width="8" customWidth="1"/>
    <col min="3" max="3" width="13.5" customWidth="1"/>
    <col min="4" max="4" width="5.25" customWidth="1"/>
    <col min="5" max="5" width="13.75" customWidth="1"/>
    <col min="6" max="6" width="13.5" customWidth="1"/>
    <col min="7" max="9" width="14.3839285714286" customWidth="1"/>
  </cols>
  <sheetData>
    <row r="1" customHeight="1" spans="1:20">
      <c r="A1" s="37" t="s">
        <v>111</v>
      </c>
      <c r="B1" s="38" t="s">
        <v>112</v>
      </c>
      <c r="C1" s="39"/>
      <c r="D1" s="39"/>
      <c r="E1" s="60"/>
      <c r="F1" s="59"/>
      <c r="G1" s="59"/>
      <c r="H1" s="61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customHeight="1" spans="1:20">
      <c r="A2" s="39"/>
      <c r="B2" s="39"/>
      <c r="C2" s="39"/>
      <c r="D2" s="39"/>
      <c r="E2" s="60"/>
      <c r="F2" s="59"/>
      <c r="G2" s="59"/>
      <c r="H2" s="61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customHeight="1" spans="1:20">
      <c r="A3" s="40" t="s">
        <v>1</v>
      </c>
      <c r="B3" s="41"/>
      <c r="C3" s="42"/>
      <c r="D3" s="39"/>
      <c r="E3" s="62" t="s">
        <v>174</v>
      </c>
      <c r="F3" s="62">
        <v>2026</v>
      </c>
      <c r="G3" s="62">
        <v>2027</v>
      </c>
      <c r="H3" s="62">
        <v>2028</v>
      </c>
      <c r="I3" s="62">
        <v>2029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4" customHeight="1" spans="1:20">
      <c r="A4" s="43" t="s">
        <v>4</v>
      </c>
      <c r="B4" s="41"/>
      <c r="C4" s="44">
        <v>24.5</v>
      </c>
      <c r="E4" s="63" t="s">
        <v>175</v>
      </c>
      <c r="F4" s="64" t="s">
        <v>176</v>
      </c>
      <c r="G4" s="64" t="s">
        <v>176</v>
      </c>
      <c r="H4" s="64" t="s">
        <v>176</v>
      </c>
      <c r="I4" s="64" t="s">
        <v>176</v>
      </c>
      <c r="K4" s="59"/>
      <c r="L4" s="59"/>
      <c r="M4" s="59"/>
      <c r="N4" s="59"/>
      <c r="O4" s="59"/>
      <c r="P4" s="59"/>
      <c r="Q4" s="59"/>
      <c r="R4" s="59"/>
      <c r="S4" s="59"/>
      <c r="T4" s="59"/>
    </row>
    <row r="5" customHeight="1" spans="1:20">
      <c r="A5" s="43" t="s">
        <v>6</v>
      </c>
      <c r="B5" s="41"/>
      <c r="C5" s="45">
        <v>21</v>
      </c>
      <c r="E5" s="63" t="s">
        <v>177</v>
      </c>
      <c r="F5" s="64" t="s">
        <v>176</v>
      </c>
      <c r="G5" s="64" t="s">
        <v>176</v>
      </c>
      <c r="H5" s="64" t="s">
        <v>176</v>
      </c>
      <c r="I5" s="64" t="s">
        <v>176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</row>
    <row r="6" customHeight="1" spans="1:20">
      <c r="A6" s="43" t="s">
        <v>8</v>
      </c>
      <c r="B6" s="41"/>
      <c r="C6" s="45">
        <v>7</v>
      </c>
      <c r="E6" s="63" t="s">
        <v>178</v>
      </c>
      <c r="F6" s="64" t="s">
        <v>176</v>
      </c>
      <c r="G6" s="64" t="s">
        <v>176</v>
      </c>
      <c r="H6" s="64" t="s">
        <v>176</v>
      </c>
      <c r="I6" s="64" t="s">
        <v>176</v>
      </c>
      <c r="K6" s="59"/>
      <c r="L6" s="59"/>
      <c r="M6" s="59"/>
      <c r="N6" s="59"/>
      <c r="O6" s="59"/>
      <c r="P6" s="59"/>
      <c r="Q6" s="59"/>
      <c r="R6" s="59"/>
      <c r="S6" s="59"/>
      <c r="T6" s="59"/>
    </row>
    <row r="7" customHeight="1" spans="1:20">
      <c r="A7" s="43" t="s">
        <v>10</v>
      </c>
      <c r="B7" s="41"/>
      <c r="C7" s="45">
        <f>6*52</f>
        <v>312</v>
      </c>
      <c r="E7" s="62" t="s">
        <v>23</v>
      </c>
      <c r="F7" s="65" t="e">
        <f>F10*#REF!</f>
        <v>#REF!</v>
      </c>
      <c r="G7" s="65" t="e">
        <f>G10*#REF!</f>
        <v>#REF!</v>
      </c>
      <c r="H7" s="65" t="e">
        <f>H10*#REF!</f>
        <v>#REF!</v>
      </c>
      <c r="I7" s="65" t="e">
        <f>I10*#REF!</f>
        <v>#REF!</v>
      </c>
      <c r="J7" s="74"/>
      <c r="K7" s="59"/>
      <c r="L7" s="59"/>
      <c r="M7" s="59"/>
      <c r="N7" s="59"/>
      <c r="O7" s="59"/>
      <c r="P7" s="59"/>
      <c r="Q7" s="59"/>
      <c r="R7" s="59"/>
      <c r="S7" s="59"/>
      <c r="T7" s="59"/>
    </row>
    <row r="8" customHeight="1" spans="1:20">
      <c r="A8" s="43" t="s">
        <v>13</v>
      </c>
      <c r="B8" s="41"/>
      <c r="C8" s="45">
        <v>4</v>
      </c>
      <c r="E8" s="63" t="s">
        <v>179</v>
      </c>
      <c r="F8" s="64" t="s">
        <v>176</v>
      </c>
      <c r="G8" s="64" t="s">
        <v>176</v>
      </c>
      <c r="H8" s="64" t="s">
        <v>176</v>
      </c>
      <c r="I8" s="64" t="s">
        <v>176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</row>
    <row r="9" customHeight="1" spans="1:20">
      <c r="A9" s="43" t="s">
        <v>16</v>
      </c>
      <c r="B9" s="41"/>
      <c r="C9" s="46">
        <v>0.5</v>
      </c>
      <c r="E9" s="63" t="s">
        <v>180</v>
      </c>
      <c r="F9" s="64" t="s">
        <v>176</v>
      </c>
      <c r="G9" s="64" t="s">
        <v>176</v>
      </c>
      <c r="H9" s="64" t="s">
        <v>176</v>
      </c>
      <c r="I9" s="64" t="s">
        <v>176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</row>
    <row r="10" customHeight="1" spans="1:20">
      <c r="A10" s="39"/>
      <c r="B10" s="39"/>
      <c r="C10" s="39"/>
      <c r="D10" s="39"/>
      <c r="E10" s="62" t="s">
        <v>25</v>
      </c>
      <c r="F10" s="65">
        <v>0</v>
      </c>
      <c r="G10" s="65">
        <v>0</v>
      </c>
      <c r="H10" s="65">
        <v>0</v>
      </c>
      <c r="I10" s="65">
        <v>400000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customHeight="1" spans="1:20">
      <c r="A11" s="39"/>
      <c r="B11" s="39"/>
      <c r="C11" s="39"/>
      <c r="D11" s="39"/>
      <c r="K11" s="39"/>
      <c r="L11" s="39"/>
      <c r="M11" s="39"/>
      <c r="N11" s="39"/>
      <c r="O11" s="39"/>
      <c r="P11" s="39"/>
      <c r="Q11" s="39"/>
      <c r="R11" s="39"/>
      <c r="S11" s="39"/>
      <c r="T11" s="39"/>
    </row>
    <row r="12" customHeight="1" spans="1:20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customHeight="1" spans="1:20">
      <c r="A13" s="47" t="s">
        <v>26</v>
      </c>
      <c r="B13" s="43" t="s">
        <v>181</v>
      </c>
      <c r="C13" s="41"/>
      <c r="D13" s="42"/>
      <c r="E13" s="66">
        <v>0</v>
      </c>
      <c r="F13" s="66">
        <v>1</v>
      </c>
      <c r="G13" s="66">
        <v>2</v>
      </c>
      <c r="H13" s="66">
        <v>3.1</v>
      </c>
      <c r="I13" s="66">
        <v>3.2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</row>
    <row r="14" customHeight="1" spans="1:20">
      <c r="A14" s="48"/>
      <c r="B14" s="43" t="s">
        <v>132</v>
      </c>
      <c r="C14" s="41"/>
      <c r="D14" s="42"/>
      <c r="E14" s="66" t="s">
        <v>27</v>
      </c>
      <c r="F14" s="66" t="s">
        <v>182</v>
      </c>
      <c r="G14" s="66" t="s">
        <v>183</v>
      </c>
      <c r="H14" s="66" t="s">
        <v>184</v>
      </c>
      <c r="I14" s="66" t="s">
        <v>185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5" customHeight="1" spans="1:20">
      <c r="A15" s="48"/>
      <c r="B15" s="43" t="s">
        <v>44</v>
      </c>
      <c r="C15" s="41"/>
      <c r="D15" s="42"/>
      <c r="E15" s="63" t="s">
        <v>27</v>
      </c>
      <c r="F15" s="63" t="s">
        <v>27</v>
      </c>
      <c r="G15" s="63" t="s">
        <v>27</v>
      </c>
      <c r="H15" s="63" t="s">
        <v>186</v>
      </c>
      <c r="I15" s="63" t="s">
        <v>187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</row>
    <row r="16" customHeight="1" spans="1:20">
      <c r="A16" s="48"/>
      <c r="B16" s="43" t="s">
        <v>54</v>
      </c>
      <c r="C16" s="41"/>
      <c r="D16" s="42"/>
      <c r="E16" s="63" t="s">
        <v>188</v>
      </c>
      <c r="F16" s="63" t="s">
        <v>146</v>
      </c>
      <c r="G16" s="63" t="s">
        <v>146</v>
      </c>
      <c r="H16" s="63" t="s">
        <v>146</v>
      </c>
      <c r="I16" s="63" t="s">
        <v>146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</row>
    <row r="17" customHeight="1" spans="1:20">
      <c r="A17" s="49"/>
      <c r="B17" s="43" t="s">
        <v>67</v>
      </c>
      <c r="C17" s="41"/>
      <c r="D17" s="42"/>
      <c r="E17" s="63" t="s">
        <v>27</v>
      </c>
      <c r="F17" s="63" t="s">
        <v>27</v>
      </c>
      <c r="G17" s="63" t="s">
        <v>186</v>
      </c>
      <c r="H17" s="63" t="s">
        <v>186</v>
      </c>
      <c r="I17" s="63" t="s">
        <v>186</v>
      </c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</row>
    <row r="18" customHeight="1" spans="1:20">
      <c r="A18" s="50" t="s">
        <v>43</v>
      </c>
      <c r="B18" s="50" t="s">
        <v>44</v>
      </c>
      <c r="C18" s="51" t="s">
        <v>45</v>
      </c>
      <c r="D18" s="52">
        <v>7300</v>
      </c>
      <c r="E18" s="67">
        <f t="shared" ref="E18:I18" si="0">$I$10/($D18*$C$6)</f>
        <v>7.82778864970646</v>
      </c>
      <c r="F18" s="67">
        <f t="shared" si="0"/>
        <v>7.82778864970646</v>
      </c>
      <c r="G18" s="67">
        <f t="shared" si="0"/>
        <v>7.82778864970646</v>
      </c>
      <c r="H18" s="67">
        <f t="shared" si="0"/>
        <v>7.82778864970646</v>
      </c>
      <c r="I18" s="67">
        <f t="shared" si="0"/>
        <v>7.82778864970646</v>
      </c>
      <c r="J18" s="76"/>
      <c r="K18" s="59"/>
      <c r="L18" s="59"/>
      <c r="M18" s="59"/>
      <c r="N18" s="59"/>
      <c r="O18" s="59"/>
      <c r="P18" s="59"/>
      <c r="Q18" s="59"/>
      <c r="R18" s="59"/>
      <c r="S18" s="59"/>
      <c r="T18" s="59"/>
    </row>
    <row r="19" customHeight="1" spans="1:20">
      <c r="A19" s="48"/>
      <c r="B19" s="48"/>
      <c r="C19" s="51" t="s">
        <v>157</v>
      </c>
      <c r="D19" s="52" t="e">
        <f>#REF!</f>
        <v>#REF!</v>
      </c>
      <c r="E19" s="67" t="e">
        <f t="shared" ref="E19:I19" si="1">$I$10/($D19*$C$6)</f>
        <v>#REF!</v>
      </c>
      <c r="F19" s="67" t="e">
        <f t="shared" si="1"/>
        <v>#REF!</v>
      </c>
      <c r="G19" s="67" t="e">
        <f t="shared" si="1"/>
        <v>#REF!</v>
      </c>
      <c r="H19" s="67" t="e">
        <f t="shared" si="1"/>
        <v>#REF!</v>
      </c>
      <c r="I19" s="67" t="e">
        <f t="shared" si="1"/>
        <v>#REF!</v>
      </c>
      <c r="J19" s="76"/>
      <c r="K19" s="59"/>
      <c r="L19" s="59"/>
      <c r="M19" s="59"/>
      <c r="N19" s="59"/>
      <c r="O19" s="59"/>
      <c r="P19" s="59"/>
      <c r="Q19" s="59"/>
      <c r="R19" s="59"/>
      <c r="S19" s="59"/>
      <c r="T19" s="59"/>
    </row>
    <row r="20" customHeight="1" spans="1:20">
      <c r="A20" s="48"/>
      <c r="B20" s="48"/>
      <c r="C20" s="51" t="s">
        <v>158</v>
      </c>
      <c r="D20" s="52" t="e">
        <f>#REF!</f>
        <v>#REF!</v>
      </c>
      <c r="E20" s="67" t="e">
        <f>$I$7/($D20*$C$6)</f>
        <v>#REF!</v>
      </c>
      <c r="F20" s="67" t="e">
        <f t="shared" ref="F20:G20" si="2">($I$7+$I$10)/($D20*$C$6)</f>
        <v>#REF!</v>
      </c>
      <c r="G20" s="67" t="e">
        <f t="shared" si="2"/>
        <v>#REF!</v>
      </c>
      <c r="H20" s="67"/>
      <c r="I20" s="67"/>
      <c r="J20" s="76"/>
      <c r="K20" s="59"/>
      <c r="L20" s="59"/>
      <c r="M20" s="59"/>
      <c r="N20" s="59"/>
      <c r="O20" s="59"/>
      <c r="P20" s="59"/>
      <c r="Q20" s="59"/>
      <c r="R20" s="59"/>
      <c r="S20" s="59"/>
      <c r="T20" s="59"/>
    </row>
    <row r="21" customHeight="1" spans="1:20">
      <c r="A21" s="48"/>
      <c r="B21" s="48"/>
      <c r="C21" s="51" t="s">
        <v>159</v>
      </c>
      <c r="D21" s="51" t="e">
        <f>#REF!*(1+30%)</f>
        <v>#REF!</v>
      </c>
      <c r="E21" s="67" t="e">
        <f>($I$7)/($D21*$C$6)</f>
        <v>#REF!</v>
      </c>
      <c r="F21" s="67"/>
      <c r="G21" s="67"/>
      <c r="H21" s="67"/>
      <c r="I21" s="67"/>
      <c r="J21" s="76"/>
      <c r="K21" s="59"/>
      <c r="L21" s="59"/>
      <c r="M21" s="59"/>
      <c r="N21" s="59"/>
      <c r="O21" s="59"/>
      <c r="P21" s="59"/>
      <c r="Q21" s="59"/>
      <c r="R21" s="59"/>
      <c r="S21" s="59"/>
      <c r="T21" s="59"/>
    </row>
    <row r="22" customHeight="1" spans="1:20">
      <c r="A22" s="48"/>
      <c r="B22" s="48"/>
      <c r="C22" s="51" t="s">
        <v>160</v>
      </c>
      <c r="D22" s="52" t="e">
        <f>#REF!</f>
        <v>#REF!</v>
      </c>
      <c r="E22" s="67"/>
      <c r="F22" s="67" t="e">
        <f t="shared" ref="F22:G22" si="3">($I$7+$I$10)/($D22*$C$6)</f>
        <v>#REF!</v>
      </c>
      <c r="G22" s="67" t="e">
        <f t="shared" si="3"/>
        <v>#REF!</v>
      </c>
      <c r="H22" s="67"/>
      <c r="I22" s="67"/>
      <c r="J22" s="76"/>
      <c r="K22" s="59"/>
      <c r="L22" s="59"/>
      <c r="M22" s="59"/>
      <c r="N22" s="59"/>
      <c r="O22" s="59"/>
      <c r="P22" s="59"/>
      <c r="Q22" s="59"/>
      <c r="R22" s="59"/>
      <c r="S22" s="59"/>
      <c r="T22" s="59"/>
    </row>
    <row r="23" customHeight="1" spans="1:20">
      <c r="A23" s="48"/>
      <c r="B23" s="48"/>
      <c r="C23" s="51" t="s">
        <v>161</v>
      </c>
      <c r="D23" s="53">
        <f>8500/6</f>
        <v>1416.66666666667</v>
      </c>
      <c r="E23" s="67" t="e">
        <f>$I$7/($D23*$C$6)</f>
        <v>#REF!</v>
      </c>
      <c r="F23" s="67"/>
      <c r="G23" s="67"/>
      <c r="H23" s="45"/>
      <c r="I23" s="67"/>
      <c r="J23" s="76"/>
      <c r="K23" s="59"/>
      <c r="L23" s="59"/>
      <c r="M23" s="59"/>
      <c r="N23" s="59"/>
      <c r="O23" s="59"/>
      <c r="P23" s="59"/>
      <c r="Q23" s="59"/>
      <c r="R23" s="59"/>
      <c r="S23" s="59"/>
      <c r="T23" s="59"/>
    </row>
    <row r="24" customHeight="1" spans="1:20">
      <c r="A24" s="48"/>
      <c r="B24" s="49"/>
      <c r="C24" s="51" t="s">
        <v>189</v>
      </c>
      <c r="D24" s="51">
        <v>694</v>
      </c>
      <c r="E24" s="67"/>
      <c r="F24" s="67" t="e">
        <f t="shared" ref="F24:H24" si="4">($I$7+$I$10)/($D24*$C$6)</f>
        <v>#REF!</v>
      </c>
      <c r="G24" s="67" t="e">
        <f t="shared" si="4"/>
        <v>#REF!</v>
      </c>
      <c r="H24" s="67" t="e">
        <f t="shared" si="4"/>
        <v>#REF!</v>
      </c>
      <c r="I24" s="67" t="e">
        <f>H24-10*3</f>
        <v>#REF!</v>
      </c>
      <c r="J24" s="74"/>
      <c r="K24" s="59"/>
      <c r="L24" s="59"/>
      <c r="M24" s="59"/>
      <c r="N24" s="59"/>
      <c r="O24" s="59"/>
      <c r="P24" s="59"/>
      <c r="Q24" s="59"/>
      <c r="R24" s="59"/>
      <c r="S24" s="59"/>
      <c r="T24" s="59"/>
    </row>
    <row r="25" customHeight="1" spans="1:20">
      <c r="A25" s="48"/>
      <c r="B25" s="47" t="s">
        <v>54</v>
      </c>
      <c r="C25" s="51" t="s">
        <v>163</v>
      </c>
      <c r="D25" s="52" t="e">
        <f>#REF!</f>
        <v>#REF!</v>
      </c>
      <c r="E25" s="67" t="e">
        <f>$I$10/($D25*$C$6)</f>
        <v>#REF!</v>
      </c>
      <c r="F25" s="67"/>
      <c r="G25" s="67"/>
      <c r="H25" s="67"/>
      <c r="I25" s="67"/>
      <c r="J25" s="76"/>
      <c r="K25" s="59"/>
      <c r="L25" s="59"/>
      <c r="M25" s="59"/>
      <c r="N25" s="59"/>
      <c r="O25" s="59"/>
      <c r="P25" s="59"/>
      <c r="Q25" s="59"/>
      <c r="R25" s="59"/>
      <c r="S25" s="59"/>
      <c r="T25" s="59"/>
    </row>
    <row r="26" customHeight="1" spans="1:20">
      <c r="A26" s="48"/>
      <c r="B26" s="48"/>
      <c r="C26" s="51" t="s">
        <v>164</v>
      </c>
      <c r="D26" s="52" t="e">
        <f>#REF!</f>
        <v>#REF!</v>
      </c>
      <c r="E26" s="67" t="e">
        <f t="shared" ref="E26:I26" si="5">$I$7/($D26*$C$6)</f>
        <v>#REF!</v>
      </c>
      <c r="F26" s="67" t="e">
        <f t="shared" si="5"/>
        <v>#REF!</v>
      </c>
      <c r="G26" s="67" t="e">
        <f t="shared" si="5"/>
        <v>#REF!</v>
      </c>
      <c r="H26" s="67" t="e">
        <f t="shared" si="5"/>
        <v>#REF!</v>
      </c>
      <c r="I26" s="67" t="e">
        <f t="shared" si="5"/>
        <v>#REF!</v>
      </c>
      <c r="J26" s="76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customHeight="1" spans="1:20">
      <c r="A27" s="48"/>
      <c r="B27" s="48"/>
      <c r="C27" s="51" t="s">
        <v>165</v>
      </c>
      <c r="D27" s="51">
        <v>1800</v>
      </c>
      <c r="E27" s="67">
        <f t="shared" ref="E27:I27" si="6">$I$10/($D27*$C$6)</f>
        <v>31.7460317460317</v>
      </c>
      <c r="F27" s="67">
        <f t="shared" si="6"/>
        <v>31.7460317460317</v>
      </c>
      <c r="G27" s="67">
        <f t="shared" si="6"/>
        <v>31.7460317460317</v>
      </c>
      <c r="H27" s="67">
        <f t="shared" si="6"/>
        <v>31.7460317460317</v>
      </c>
      <c r="I27" s="67">
        <f t="shared" si="6"/>
        <v>31.7460317460317</v>
      </c>
      <c r="J27" s="76"/>
      <c r="K27" s="59"/>
      <c r="L27" s="59"/>
      <c r="M27" s="59"/>
      <c r="N27" s="59"/>
      <c r="O27" s="59"/>
      <c r="P27" s="59"/>
      <c r="Q27" s="59"/>
      <c r="R27" s="59"/>
      <c r="S27" s="59"/>
      <c r="T27" s="59"/>
    </row>
    <row r="28" customHeight="1" spans="1:20">
      <c r="A28" s="48"/>
      <c r="B28" s="49"/>
      <c r="C28" s="51" t="s">
        <v>70</v>
      </c>
      <c r="D28" s="51" t="s">
        <v>73</v>
      </c>
      <c r="E28" s="67">
        <v>10</v>
      </c>
      <c r="F28" s="67">
        <v>10</v>
      </c>
      <c r="G28" s="67">
        <v>10</v>
      </c>
      <c r="H28" s="67">
        <v>10</v>
      </c>
      <c r="I28" s="67">
        <v>10</v>
      </c>
      <c r="J28" s="76"/>
      <c r="K28" s="59"/>
      <c r="L28" s="59"/>
      <c r="M28" s="59"/>
      <c r="N28" s="59"/>
      <c r="O28" s="59"/>
      <c r="P28" s="59"/>
      <c r="Q28" s="59"/>
      <c r="R28" s="59"/>
      <c r="S28" s="59"/>
      <c r="T28" s="59"/>
    </row>
    <row r="29" customHeight="1" spans="1:20">
      <c r="A29" s="48"/>
      <c r="B29" s="47" t="s">
        <v>67</v>
      </c>
      <c r="C29" s="54" t="s">
        <v>166</v>
      </c>
      <c r="D29" s="52" t="e">
        <f>#REF!*(1-70%)</f>
        <v>#REF!</v>
      </c>
      <c r="E29" s="67" t="e">
        <f>$I$10/($D29*$C$6)</f>
        <v>#REF!</v>
      </c>
      <c r="F29" s="67"/>
      <c r="G29" s="67"/>
      <c r="H29" s="67"/>
      <c r="I29" s="67"/>
      <c r="J29" s="76"/>
      <c r="K29" s="59"/>
      <c r="L29" s="59"/>
      <c r="M29" s="59"/>
      <c r="N29" s="59"/>
      <c r="O29" s="59"/>
      <c r="P29" s="59"/>
      <c r="Q29" s="59"/>
      <c r="R29" s="59"/>
      <c r="S29" s="59"/>
      <c r="T29" s="59"/>
    </row>
    <row r="30" customHeight="1" spans="1:20">
      <c r="A30" s="48"/>
      <c r="B30" s="48"/>
      <c r="C30" s="54" t="s">
        <v>190</v>
      </c>
      <c r="D30" s="52" t="e">
        <f>#REF!</f>
        <v>#REF!</v>
      </c>
      <c r="E30" s="67"/>
      <c r="F30" s="67" t="e">
        <f>$I$10/($D30*$C$6)</f>
        <v>#REF!</v>
      </c>
      <c r="G30" s="67"/>
      <c r="H30" s="67"/>
      <c r="I30" s="67"/>
      <c r="J30" s="76"/>
      <c r="K30" s="59"/>
      <c r="L30" s="59"/>
      <c r="M30" s="59"/>
      <c r="N30" s="59"/>
      <c r="O30" s="59"/>
      <c r="P30" s="59"/>
      <c r="Q30" s="59"/>
      <c r="R30" s="59"/>
      <c r="S30" s="59"/>
      <c r="T30" s="59"/>
    </row>
    <row r="31" customHeight="1" spans="1:20">
      <c r="A31" s="48"/>
      <c r="B31" s="49"/>
      <c r="C31" s="51" t="s">
        <v>167</v>
      </c>
      <c r="D31" s="52" t="e">
        <f>#REF!</f>
        <v>#REF!</v>
      </c>
      <c r="E31" s="67" t="e">
        <f t="shared" ref="E31:I31" si="7">$I$10/($D31*$C$6)</f>
        <v>#REF!</v>
      </c>
      <c r="F31" s="67" t="e">
        <f t="shared" si="7"/>
        <v>#REF!</v>
      </c>
      <c r="G31" s="67" t="e">
        <f t="shared" si="7"/>
        <v>#REF!</v>
      </c>
      <c r="H31" s="67" t="e">
        <f t="shared" si="7"/>
        <v>#REF!</v>
      </c>
      <c r="I31" s="67" t="e">
        <f t="shared" si="7"/>
        <v>#REF!</v>
      </c>
      <c r="J31" s="76"/>
      <c r="K31" s="59"/>
      <c r="L31" s="59"/>
      <c r="M31" s="59"/>
      <c r="N31" s="59"/>
      <c r="O31" s="59"/>
      <c r="P31" s="59"/>
      <c r="Q31" s="59"/>
      <c r="R31" s="59"/>
      <c r="S31" s="59"/>
      <c r="T31" s="59"/>
    </row>
    <row r="32" customHeight="1" spans="1:20">
      <c r="A32" s="48"/>
      <c r="B32" s="55" t="s">
        <v>71</v>
      </c>
      <c r="C32" s="42"/>
      <c r="D32" s="51" t="s">
        <v>73</v>
      </c>
      <c r="E32" s="45">
        <v>9</v>
      </c>
      <c r="F32" s="45">
        <v>9</v>
      </c>
      <c r="G32" s="45">
        <v>9</v>
      </c>
      <c r="H32" s="45">
        <v>9</v>
      </c>
      <c r="I32" s="45">
        <v>9</v>
      </c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 customHeight="1" spans="1:20">
      <c r="A33" s="48"/>
      <c r="B33" s="55" t="s">
        <v>75</v>
      </c>
      <c r="C33" s="42"/>
      <c r="D33" s="51" t="s">
        <v>73</v>
      </c>
      <c r="E33" s="67" t="e">
        <f t="shared" ref="E33:I33" si="8">SUM(E18:E32)*0.5/8</f>
        <v>#REF!</v>
      </c>
      <c r="F33" s="67" t="e">
        <f t="shared" si="8"/>
        <v>#REF!</v>
      </c>
      <c r="G33" s="67" t="e">
        <f t="shared" si="8"/>
        <v>#REF!</v>
      </c>
      <c r="H33" s="67" t="e">
        <f t="shared" si="8"/>
        <v>#REF!</v>
      </c>
      <c r="I33" s="67" t="e">
        <f t="shared" si="8"/>
        <v>#REF!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customHeight="1" spans="1:20">
      <c r="A34" s="48"/>
      <c r="B34" s="40" t="s">
        <v>191</v>
      </c>
      <c r="C34" s="41"/>
      <c r="D34" s="42"/>
      <c r="E34" s="68" t="e">
        <f t="shared" ref="E34:I34" si="9">SUM(E18:E33)</f>
        <v>#REF!</v>
      </c>
      <c r="F34" s="68" t="e">
        <f t="shared" si="9"/>
        <v>#REF!</v>
      </c>
      <c r="G34" s="68" t="e">
        <f t="shared" si="9"/>
        <v>#REF!</v>
      </c>
      <c r="H34" s="68" t="e">
        <f t="shared" si="9"/>
        <v>#REF!</v>
      </c>
      <c r="I34" s="68" t="e">
        <f t="shared" si="9"/>
        <v>#REF!</v>
      </c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customHeight="1" spans="1:20">
      <c r="A35" s="49"/>
      <c r="B35" s="40" t="s">
        <v>192</v>
      </c>
      <c r="C35" s="41"/>
      <c r="D35" s="42"/>
      <c r="E35" s="68" t="e">
        <f t="shared" ref="E35:I35" si="10">E34*$C$9</f>
        <v>#REF!</v>
      </c>
      <c r="F35" s="68" t="e">
        <f t="shared" si="10"/>
        <v>#REF!</v>
      </c>
      <c r="G35" s="68" t="e">
        <f t="shared" si="10"/>
        <v>#REF!</v>
      </c>
      <c r="H35" s="68" t="e">
        <f t="shared" si="10"/>
        <v>#REF!</v>
      </c>
      <c r="I35" s="68" t="e">
        <f t="shared" si="10"/>
        <v>#REF!</v>
      </c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</row>
    <row r="36" customHeight="1" spans="1:20">
      <c r="A36" s="47" t="s">
        <v>81</v>
      </c>
      <c r="B36" s="56" t="s">
        <v>193</v>
      </c>
      <c r="C36" s="57"/>
      <c r="D36" s="58"/>
      <c r="E36" s="69" t="e">
        <f t="shared" ref="E36:I36" si="11">(E34*$C$8/12+E35*(12-$C$8)/12)*$C$4*$C$5*$C$7</f>
        <v>#REF!</v>
      </c>
      <c r="F36" s="69" t="e">
        <f t="shared" si="11"/>
        <v>#REF!</v>
      </c>
      <c r="G36" s="69" t="e">
        <f t="shared" si="11"/>
        <v>#REF!</v>
      </c>
      <c r="H36" s="69" t="e">
        <f t="shared" si="11"/>
        <v>#REF!</v>
      </c>
      <c r="I36" s="69" t="e">
        <f t="shared" si="11"/>
        <v>#REF!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</row>
    <row r="37" customHeight="1" spans="1:20">
      <c r="A37" s="48"/>
      <c r="B37" s="56" t="s">
        <v>84</v>
      </c>
      <c r="C37" s="57"/>
      <c r="D37" s="58"/>
      <c r="E37" s="70"/>
      <c r="F37" s="71">
        <v>3000000</v>
      </c>
      <c r="G37" s="71">
        <f>F37+120*12000+15*24300</f>
        <v>4804500</v>
      </c>
      <c r="H37" s="71">
        <f>G37+1000000</f>
        <v>5804500</v>
      </c>
      <c r="I37" s="71">
        <f>G37+3000000</f>
        <v>7804500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38" customHeight="1" spans="1:20">
      <c r="A38" s="48"/>
      <c r="B38" s="40" t="s">
        <v>194</v>
      </c>
      <c r="C38" s="41"/>
      <c r="D38" s="42"/>
      <c r="E38" s="70"/>
      <c r="F38" s="72" t="e">
        <f t="shared" ref="F38:H38" si="12">F37/(E36-F36)</f>
        <v>#REF!</v>
      </c>
      <c r="G38" s="72" t="e">
        <f t="shared" si="12"/>
        <v>#REF!</v>
      </c>
      <c r="H38" s="72" t="e">
        <f t="shared" si="12"/>
        <v>#REF!</v>
      </c>
      <c r="I38" s="72" t="e">
        <f>I37/(G36-I36)</f>
        <v>#REF!</v>
      </c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</row>
    <row r="39" customHeight="1" spans="1:20">
      <c r="A39" s="48"/>
      <c r="B39" s="40" t="s">
        <v>195</v>
      </c>
      <c r="C39" s="41"/>
      <c r="D39" s="42"/>
      <c r="E39" s="44" t="e">
        <f t="shared" ref="E39:I39" si="13">E36/($I$10*$C$7*(($C$8/12)+((12-$C$8)/12*$C$9)))</f>
        <v>#REF!</v>
      </c>
      <c r="F39" s="44" t="e">
        <f t="shared" si="13"/>
        <v>#REF!</v>
      </c>
      <c r="G39" s="44" t="e">
        <f t="shared" si="13"/>
        <v>#REF!</v>
      </c>
      <c r="H39" s="44" t="e">
        <f t="shared" si="13"/>
        <v>#REF!</v>
      </c>
      <c r="I39" s="44" t="e">
        <f t="shared" si="13"/>
        <v>#REF!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</row>
    <row r="40" customHeight="1" spans="1:20">
      <c r="A40" s="48"/>
      <c r="B40" s="40" t="s">
        <v>196</v>
      </c>
      <c r="C40" s="41"/>
      <c r="D40" s="42"/>
      <c r="E40" s="73">
        <f>25000*C5</f>
        <v>525000</v>
      </c>
      <c r="F40" s="73">
        <f t="shared" ref="F40:I40" si="14">12500*$C$5</f>
        <v>262500</v>
      </c>
      <c r="G40" s="73">
        <f t="shared" si="14"/>
        <v>262500</v>
      </c>
      <c r="H40" s="73">
        <f t="shared" si="14"/>
        <v>262500</v>
      </c>
      <c r="I40" s="73">
        <f t="shared" si="14"/>
        <v>262500</v>
      </c>
      <c r="J40" s="74"/>
      <c r="K40" s="59"/>
      <c r="L40" s="59"/>
      <c r="M40" s="59"/>
      <c r="N40" s="59"/>
      <c r="O40" s="59"/>
      <c r="P40" s="59"/>
      <c r="Q40" s="59"/>
      <c r="R40" s="59"/>
      <c r="S40" s="59"/>
      <c r="T40" s="59"/>
    </row>
    <row r="41" customHeight="1" spans="1:20">
      <c r="A41" s="49"/>
      <c r="B41" s="40" t="s">
        <v>197</v>
      </c>
      <c r="C41" s="41"/>
      <c r="D41" s="42"/>
      <c r="E41" s="44" t="e">
        <f t="shared" ref="E41:I41" si="15">E36/$C$7/E40</f>
        <v>#REF!</v>
      </c>
      <c r="F41" s="44" t="e">
        <f t="shared" si="15"/>
        <v>#REF!</v>
      </c>
      <c r="G41" s="44" t="e">
        <f t="shared" si="15"/>
        <v>#REF!</v>
      </c>
      <c r="H41" s="44" t="e">
        <f t="shared" si="15"/>
        <v>#REF!</v>
      </c>
      <c r="I41" s="44" t="e">
        <f t="shared" si="15"/>
        <v>#REF!</v>
      </c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</row>
    <row r="42" customHeight="1" spans="1:20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</row>
    <row r="43" customHeight="1" spans="1:20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</row>
    <row r="44" customHeight="1" spans="1:20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</row>
    <row r="45" customHeight="1" spans="1:20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</row>
    <row r="46" customHeight="1" spans="1:20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customHeight="1" spans="1:20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</row>
    <row r="48" customHeight="1" spans="1:20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</row>
    <row r="49" customHeight="1" spans="1:20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</row>
    <row r="50" customHeight="1" spans="1:2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</row>
    <row r="51" customHeight="1" spans="1:20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</row>
    <row r="52" customHeight="1" spans="1:20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</row>
    <row r="53" customHeight="1" spans="1:20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</row>
    <row r="54" customHeight="1" spans="1:20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</row>
    <row r="55" customHeight="1" spans="1:20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</row>
    <row r="56" customHeight="1" spans="1:20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</row>
    <row r="57" customHeight="1" spans="1:20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</row>
    <row r="58" customHeight="1" spans="1:20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</row>
    <row r="59" customHeight="1" spans="1:20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</row>
    <row r="60" customHeight="1" spans="1:2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</row>
    <row r="61" customHeight="1" spans="1:20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</row>
    <row r="62" customHeight="1" spans="1:20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</row>
    <row r="63" customHeight="1" spans="1:20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</row>
    <row r="64" customHeight="1" spans="1:20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</row>
    <row r="65" customHeight="1" spans="1:20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</row>
    <row r="66" customHeight="1" spans="1:20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</row>
    <row r="67" customHeight="1" spans="1:20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</row>
    <row r="68" customHeight="1" spans="1:20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</row>
    <row r="69" customHeight="1" spans="1:20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</row>
    <row r="70" customHeight="1" spans="1:2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</row>
    <row r="71" customHeight="1" spans="1:20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</row>
    <row r="72" customHeight="1" spans="1:20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</row>
    <row r="73" customHeight="1" spans="1:20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</row>
    <row r="74" customHeight="1" spans="1:20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</row>
    <row r="75" customHeight="1" spans="1:20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 customHeight="1" spans="1:20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</row>
    <row r="77" customHeight="1" spans="1:20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</row>
    <row r="78" customHeight="1" spans="1:20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</row>
    <row r="79" customHeight="1" spans="1:20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</row>
    <row r="80" customHeight="1" spans="1:2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</row>
    <row r="81" customHeight="1" spans="1:20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</row>
    <row r="82" customHeight="1" spans="1:20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</row>
    <row r="83" customHeight="1" spans="1:20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</row>
    <row r="84" customHeight="1" spans="1:20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</row>
    <row r="85" customHeight="1" spans="1:20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</row>
    <row r="86" customHeight="1" spans="1:20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</row>
    <row r="87" customHeight="1" spans="1:20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</row>
    <row r="88" customHeight="1" spans="1:20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</row>
    <row r="89" customHeight="1" spans="1:20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</row>
    <row r="90" customHeight="1" spans="1:2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</row>
    <row r="91" customHeight="1" spans="1:20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</row>
    <row r="92" customHeight="1" spans="1:20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</row>
    <row r="93" customHeight="1" spans="1:20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</row>
    <row r="94" customHeight="1" spans="1:20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</row>
    <row r="95" customHeight="1" spans="1:20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</row>
    <row r="96" customHeight="1" spans="1:20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</row>
    <row r="97" customHeight="1" spans="1:20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</row>
    <row r="98" customHeight="1" spans="1:20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</row>
    <row r="99" customHeight="1" spans="1:20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</row>
    <row r="100" customHeight="1" spans="1:2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</row>
    <row r="101" customHeight="1" spans="1:20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</row>
    <row r="102" customHeight="1" spans="1:20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</row>
    <row r="103" customHeight="1" spans="1:20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</row>
    <row r="104" customHeight="1" spans="1:20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</row>
    <row r="105" customHeight="1" spans="1:20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</row>
    <row r="106" customHeight="1" spans="1:20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</row>
    <row r="107" customHeight="1" spans="1:20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</row>
    <row r="108" customHeight="1" spans="1:20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</row>
    <row r="109" customHeight="1" spans="1:20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</row>
    <row r="110" customHeight="1" spans="1:2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</row>
    <row r="111" customHeight="1" spans="1:20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</row>
    <row r="112" customHeight="1" spans="1:20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</row>
    <row r="113" customHeight="1" spans="1:20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</row>
    <row r="114" customHeight="1" spans="1:20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</row>
    <row r="115" customHeight="1" spans="1:20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</row>
    <row r="116" customHeight="1" spans="1:20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</row>
    <row r="117" customHeight="1" spans="1:20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</row>
    <row r="118" customHeight="1" spans="1:20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</row>
    <row r="119" customHeight="1" spans="1:20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</row>
    <row r="120" customHeight="1" spans="1: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</row>
    <row r="121" customHeight="1" spans="1:20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</row>
    <row r="122" customHeight="1" spans="1:20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</row>
    <row r="123" customHeight="1" spans="1:20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</row>
    <row r="124" customHeight="1" spans="1:20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</row>
    <row r="125" customHeight="1" spans="1:20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</row>
    <row r="126" customHeight="1" spans="1:20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</row>
    <row r="127" customHeight="1" spans="1:20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</row>
    <row r="128" customHeight="1" spans="1:20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</row>
    <row r="129" customHeight="1" spans="1:20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</row>
    <row r="130" customHeight="1" spans="1:2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</row>
    <row r="131" customHeight="1" spans="1:20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</row>
    <row r="132" customHeight="1" spans="1:20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</row>
    <row r="133" customHeight="1" spans="1:20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</row>
    <row r="134" customHeight="1" spans="1:20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</row>
    <row r="135" customHeight="1" spans="1:20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</row>
    <row r="136" customHeight="1" spans="1:20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</row>
    <row r="137" customHeight="1" spans="1:20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</row>
    <row r="138" customHeight="1" spans="1:20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</row>
    <row r="139" customHeight="1" spans="1:20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</row>
    <row r="140" customHeight="1" spans="1:2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</row>
    <row r="141" customHeight="1" spans="1:20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</row>
    <row r="142" customHeight="1" spans="1:20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</row>
    <row r="143" customHeight="1" spans="1:20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</row>
    <row r="144" customHeight="1" spans="1:20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</row>
    <row r="145" customHeight="1" spans="1:20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</row>
    <row r="146" customHeight="1" spans="1:20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</row>
    <row r="147" customHeight="1" spans="1:20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</row>
    <row r="148" customHeight="1" spans="1:20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</row>
    <row r="149" customHeight="1" spans="1:20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</row>
    <row r="150" customHeight="1" spans="1:2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</row>
    <row r="151" customHeight="1" spans="1:20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</row>
    <row r="152" customHeight="1" spans="1:20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</row>
    <row r="153" customHeight="1" spans="1:20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</row>
    <row r="154" customHeight="1" spans="1:20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</row>
    <row r="155" customHeight="1" spans="1:20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</row>
    <row r="156" customHeight="1" spans="1:20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</row>
    <row r="157" customHeight="1" spans="1:20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</row>
    <row r="158" customHeight="1" spans="1:20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</row>
    <row r="159" customHeight="1" spans="1:20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</row>
    <row r="160" customHeight="1" spans="1:2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</row>
    <row r="161" customHeight="1" spans="1:20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</row>
    <row r="162" customHeight="1" spans="1:20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</row>
    <row r="163" customHeight="1" spans="1:20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</row>
    <row r="164" customHeight="1" spans="1:20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</row>
    <row r="165" customHeight="1" spans="1:20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</row>
    <row r="166" customHeight="1" spans="1:20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</row>
    <row r="167" customHeight="1" spans="1:20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</row>
    <row r="168" customHeight="1" spans="1:20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</row>
    <row r="169" customHeight="1" spans="1:20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</row>
    <row r="170" customHeight="1" spans="1:2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</row>
    <row r="171" customHeight="1" spans="1:20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</row>
    <row r="172" customHeight="1" spans="1:20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</row>
    <row r="173" customHeight="1" spans="1:20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</row>
    <row r="174" customHeight="1" spans="1:20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</row>
    <row r="175" customHeight="1" spans="1:20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</row>
    <row r="176" customHeight="1" spans="1:20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</row>
    <row r="177" customHeight="1" spans="1:20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</row>
    <row r="178" customHeight="1" spans="1:20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</row>
    <row r="179" customHeight="1" spans="1:20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</row>
    <row r="180" customHeight="1" spans="1:2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</row>
    <row r="181" customHeight="1" spans="1:20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</row>
    <row r="182" customHeight="1" spans="1:20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</row>
    <row r="183" customHeight="1" spans="1:20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</row>
    <row r="184" customHeight="1" spans="1:20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</row>
    <row r="185" customHeight="1" spans="1:20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</row>
    <row r="186" customHeight="1" spans="1:20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</row>
    <row r="187" customHeight="1" spans="1:20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</row>
    <row r="188" customHeight="1" spans="1:20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</row>
    <row r="189" customHeight="1" spans="1:20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</row>
    <row r="190" customHeight="1" spans="1:2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</row>
    <row r="191" customHeight="1" spans="1:20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</row>
    <row r="192" customHeight="1" spans="1:20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</row>
    <row r="193" customHeight="1" spans="1:20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</row>
    <row r="194" customHeight="1" spans="1:20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</row>
    <row r="195" customHeight="1" spans="1:20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</row>
    <row r="196" customHeight="1" spans="1:20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</row>
    <row r="197" customHeight="1" spans="1:20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</row>
    <row r="198" customHeight="1" spans="1:20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</row>
    <row r="199" customHeight="1" spans="1:20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</row>
    <row r="200" customHeight="1" spans="1:2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</row>
    <row r="201" customHeight="1" spans="1:20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</row>
    <row r="202" customHeight="1" spans="1:20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</row>
    <row r="203" customHeight="1" spans="1:20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</row>
    <row r="204" customHeight="1" spans="1:20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</row>
    <row r="205" customHeight="1" spans="1:20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</row>
    <row r="206" customHeight="1" spans="1:20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</row>
    <row r="207" customHeight="1" spans="1:20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</row>
    <row r="208" customHeight="1" spans="1:20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</row>
    <row r="209" customHeight="1" spans="1:20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</row>
    <row r="210" customHeight="1" spans="1:2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</row>
    <row r="211" customHeight="1" spans="1:20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</row>
    <row r="212" customHeight="1" spans="1:20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</row>
    <row r="213" customHeight="1" spans="1:20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</row>
    <row r="214" customHeight="1" spans="1:20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</row>
    <row r="215" customHeight="1" spans="1:20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</row>
    <row r="216" customHeight="1" spans="1:20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</row>
    <row r="217" customHeight="1" spans="1:20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</row>
    <row r="218" customHeight="1" spans="1:20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</row>
    <row r="219" customHeight="1" spans="1:20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</row>
    <row r="220" customHeight="1" spans="1: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</row>
    <row r="221" customHeight="1" spans="1:20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</row>
    <row r="222" customHeight="1" spans="1:20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</row>
    <row r="223" customHeight="1" spans="1:20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</row>
    <row r="224" customHeight="1" spans="1:20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</row>
    <row r="225" customHeight="1" spans="1:20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</row>
    <row r="226" customHeight="1" spans="1:20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</row>
    <row r="227" customHeight="1" spans="1:20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</row>
    <row r="228" customHeight="1" spans="1:20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</row>
    <row r="229" customHeight="1" spans="1:20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</row>
    <row r="230" customHeight="1" spans="1:2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</row>
    <row r="231" customHeight="1" spans="1:20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</row>
    <row r="232" customHeight="1" spans="1:20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</row>
    <row r="233" customHeight="1" spans="1:20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</row>
    <row r="234" customHeight="1" spans="1:20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</row>
    <row r="235" customHeight="1" spans="1:20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</row>
    <row r="236" customHeight="1" spans="1:20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</row>
    <row r="237" customHeight="1" spans="1:20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</row>
    <row r="238" customHeight="1" spans="1:20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</row>
    <row r="239" customHeight="1" spans="1:20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</row>
    <row r="240" customHeight="1" spans="1:2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</row>
    <row r="241" customHeight="1" spans="1:20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</row>
    <row r="242" customHeight="1" spans="1:20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</row>
    <row r="243" customHeight="1" spans="1:20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</row>
    <row r="244" customHeight="1" spans="1:20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</row>
    <row r="245" customHeight="1" spans="1:20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</row>
    <row r="246" customHeight="1" spans="1:20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</row>
    <row r="247" customHeight="1" spans="1:20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</row>
    <row r="248" customHeight="1" spans="1:20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</row>
    <row r="249" customHeight="1" spans="1:20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</row>
    <row r="250" customHeight="1" spans="1:2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</row>
    <row r="251" customHeight="1" spans="1:20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</row>
    <row r="252" customHeight="1" spans="1:20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</row>
    <row r="253" customHeight="1" spans="1:20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</row>
    <row r="254" customHeight="1" spans="1:20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</row>
    <row r="255" customHeight="1" spans="1:20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</row>
    <row r="256" customHeight="1" spans="1:20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</row>
    <row r="257" customHeight="1" spans="1:20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</row>
    <row r="258" customHeight="1" spans="1:20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</row>
    <row r="259" customHeight="1" spans="1:20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</row>
    <row r="260" customHeight="1" spans="1:2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</row>
    <row r="261" customHeight="1" spans="1:20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</row>
    <row r="262" customHeight="1" spans="1:20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</row>
    <row r="263" customHeight="1" spans="1:20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</row>
    <row r="264" customHeight="1" spans="1:20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</row>
    <row r="265" customHeight="1" spans="1:20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</row>
    <row r="266" customHeight="1" spans="1:20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</row>
    <row r="267" customHeight="1" spans="1:20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</row>
    <row r="268" customHeight="1" spans="1:20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</row>
    <row r="269" customHeight="1" spans="1:20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</row>
    <row r="270" customHeight="1" spans="1:2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</row>
    <row r="271" customHeight="1" spans="1:20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</row>
    <row r="272" customHeight="1" spans="1:20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</row>
    <row r="273" customHeight="1" spans="1:20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</row>
    <row r="274" customHeight="1" spans="1:20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</row>
    <row r="275" customHeight="1" spans="1:20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</row>
    <row r="276" customHeight="1" spans="1:20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</row>
    <row r="277" customHeight="1" spans="1:20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</row>
    <row r="278" customHeight="1" spans="1:20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</row>
    <row r="279" customHeight="1" spans="1:20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</row>
    <row r="280" customHeight="1" spans="1:2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</row>
    <row r="281" customHeight="1" spans="1:20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</row>
    <row r="282" customHeight="1" spans="1:20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</row>
    <row r="283" customHeight="1" spans="1:20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</row>
    <row r="284" customHeight="1" spans="1:20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</row>
    <row r="285" customHeight="1" spans="1:20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</row>
    <row r="286" customHeight="1" spans="1:20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</row>
    <row r="287" customHeight="1" spans="1:20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</row>
    <row r="288" customHeight="1" spans="1:20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</row>
    <row r="289" customHeight="1" spans="1:20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</row>
    <row r="290" customHeight="1" spans="1:2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</row>
    <row r="291" customHeight="1" spans="1:20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</row>
    <row r="292" customHeight="1" spans="1:20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</row>
    <row r="293" customHeight="1" spans="1:20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</row>
    <row r="294" customHeight="1" spans="1:20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</row>
    <row r="295" customHeight="1" spans="1:20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</row>
    <row r="296" customHeight="1" spans="1:20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</row>
    <row r="297" customHeight="1" spans="1:20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</row>
    <row r="298" customHeight="1" spans="1:20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</row>
    <row r="299" customHeight="1" spans="1:20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</row>
    <row r="300" customHeight="1" spans="1:2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</row>
    <row r="301" customHeight="1" spans="1:20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</row>
    <row r="302" customHeight="1" spans="1:20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</row>
    <row r="303" customHeight="1" spans="1:20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</row>
    <row r="304" customHeight="1" spans="1:20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</row>
    <row r="305" customHeight="1" spans="1:20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</row>
    <row r="306" customHeight="1" spans="1:20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</row>
    <row r="307" customHeight="1" spans="1:20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</row>
    <row r="308" customHeight="1" spans="1:20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</row>
    <row r="309" customHeight="1" spans="1:20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</row>
    <row r="310" customHeight="1" spans="1:2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</row>
    <row r="311" customHeight="1" spans="1:20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</row>
    <row r="312" customHeight="1" spans="1:20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</row>
    <row r="313" customHeight="1" spans="1:20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</row>
    <row r="314" customHeight="1" spans="1:20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</row>
    <row r="315" customHeight="1" spans="1:20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</row>
    <row r="316" customHeight="1" spans="1:20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</row>
    <row r="317" customHeight="1" spans="1:20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</row>
    <row r="318" customHeight="1" spans="1:20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</row>
    <row r="319" customHeight="1" spans="1:20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</row>
    <row r="320" customHeight="1" spans="1: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</row>
    <row r="321" customHeight="1" spans="1:20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</row>
    <row r="322" customHeight="1" spans="1:20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</row>
    <row r="323" customHeight="1" spans="1:20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</row>
    <row r="324" customHeight="1" spans="1:20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</row>
    <row r="325" customHeight="1" spans="1:20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</row>
    <row r="326" customHeight="1" spans="1:20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</row>
    <row r="327" customHeight="1" spans="1:20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</row>
    <row r="328" customHeight="1" spans="1:20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</row>
    <row r="329" customHeight="1" spans="1:20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</row>
    <row r="330" customHeight="1" spans="1:2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</row>
    <row r="331" customHeight="1" spans="1:20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</row>
    <row r="332" customHeight="1" spans="1:20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</row>
    <row r="333" customHeight="1" spans="1:20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</row>
    <row r="334" customHeight="1" spans="1:20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</row>
    <row r="335" customHeight="1" spans="1:20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</row>
    <row r="336" customHeight="1" spans="1:20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</row>
    <row r="337" customHeight="1" spans="1:20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</row>
    <row r="338" customHeight="1" spans="1:20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</row>
    <row r="339" customHeight="1" spans="1:20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</row>
    <row r="340" customHeight="1" spans="1:2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</row>
    <row r="341" customHeight="1" spans="1:20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</row>
    <row r="342" customHeight="1" spans="1:20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</row>
    <row r="343" customHeight="1" spans="1:20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</row>
    <row r="344" customHeight="1" spans="1:20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</row>
    <row r="345" customHeight="1" spans="1:20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</row>
    <row r="346" customHeight="1" spans="1:20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</row>
    <row r="347" customHeight="1" spans="1:20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</row>
    <row r="348" customHeight="1" spans="1:20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</row>
    <row r="349" customHeight="1" spans="1:20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</row>
    <row r="350" customHeight="1" spans="1:2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</row>
    <row r="351" customHeight="1" spans="1:20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</row>
    <row r="352" customHeight="1" spans="1:20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</row>
    <row r="353" customHeight="1" spans="1:20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</row>
    <row r="354" customHeight="1" spans="1:20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</row>
    <row r="355" customHeight="1" spans="1:20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</row>
    <row r="356" customHeight="1" spans="1:20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</row>
    <row r="357" customHeight="1" spans="1:20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</row>
    <row r="358" customHeight="1" spans="1:20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</row>
    <row r="359" customHeight="1" spans="1:20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</row>
    <row r="360" customHeight="1" spans="1:2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</row>
    <row r="361" customHeight="1" spans="1:20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</row>
    <row r="362" customHeight="1" spans="1:20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</row>
    <row r="363" customHeight="1" spans="1:20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</row>
    <row r="364" customHeight="1" spans="1:20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</row>
    <row r="365" customHeight="1" spans="1:20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</row>
    <row r="366" customHeight="1" spans="1:20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</row>
    <row r="367" customHeight="1" spans="1:20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</row>
    <row r="368" customHeight="1" spans="1:20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</row>
    <row r="369" customHeight="1" spans="1:20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</row>
    <row r="370" customHeight="1" spans="1:2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</row>
    <row r="371" customHeight="1" spans="1:20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</row>
    <row r="372" customHeight="1" spans="1:20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</row>
    <row r="373" customHeight="1" spans="1:20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</row>
    <row r="374" customHeight="1" spans="1:20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</row>
    <row r="375" customHeight="1" spans="1:20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</row>
    <row r="376" customHeight="1" spans="1:20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</row>
    <row r="377" customHeight="1" spans="1:20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</row>
    <row r="378" customHeight="1" spans="1:20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</row>
    <row r="379" customHeight="1" spans="1:20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</row>
    <row r="380" customHeight="1" spans="1:2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</row>
    <row r="381" customHeight="1" spans="1:20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</row>
    <row r="382" customHeight="1" spans="1:20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</row>
    <row r="383" customHeight="1" spans="1:20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</row>
    <row r="384" customHeight="1" spans="1:20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</row>
    <row r="385" customHeight="1" spans="1:20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</row>
    <row r="386" customHeight="1" spans="1:20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</row>
    <row r="387" customHeight="1" spans="1:20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</row>
    <row r="388" customHeight="1" spans="1:20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</row>
    <row r="389" customHeight="1" spans="1:20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</row>
    <row r="390" customHeight="1" spans="1:2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</row>
    <row r="391" customHeight="1" spans="1:20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</row>
    <row r="392" customHeight="1" spans="1:20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</row>
    <row r="393" customHeight="1" spans="1:20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</row>
    <row r="394" customHeight="1" spans="1:20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</row>
    <row r="395" customHeight="1" spans="1:20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</row>
    <row r="396" customHeight="1" spans="1:20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</row>
    <row r="397" customHeight="1" spans="1:20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</row>
    <row r="398" customHeight="1" spans="1:20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</row>
    <row r="399" customHeight="1" spans="1:20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</row>
    <row r="400" customHeight="1" spans="1:2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</row>
    <row r="401" customHeight="1" spans="1:20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</row>
    <row r="402" customHeight="1" spans="1:20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</row>
    <row r="403" customHeight="1" spans="1:20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</row>
    <row r="404" customHeight="1" spans="1:20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</row>
    <row r="405" customHeight="1" spans="1:20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</row>
    <row r="406" customHeight="1" spans="1:20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</row>
    <row r="407" customHeight="1" spans="1:20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</row>
    <row r="408" customHeight="1" spans="1:20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</row>
    <row r="409" customHeight="1" spans="1:20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</row>
    <row r="410" customHeight="1" spans="1:2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</row>
    <row r="411" customHeight="1" spans="1:20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</row>
    <row r="412" customHeight="1" spans="1:20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</row>
    <row r="413" customHeight="1" spans="1:20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</row>
    <row r="414" customHeight="1" spans="1:20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</row>
    <row r="415" customHeight="1" spans="1:20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</row>
    <row r="416" customHeight="1" spans="1:20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</row>
    <row r="417" customHeight="1" spans="1:20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</row>
    <row r="418" customHeight="1" spans="1:20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</row>
    <row r="419" customHeight="1" spans="1:20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</row>
    <row r="420" customHeight="1" spans="1: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</row>
    <row r="421" customHeight="1" spans="1:20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</row>
    <row r="422" customHeight="1" spans="1:20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</row>
    <row r="423" customHeight="1" spans="1:20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</row>
    <row r="424" customHeight="1" spans="1:20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</row>
    <row r="425" customHeight="1" spans="1:20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</row>
    <row r="426" customHeight="1" spans="1:20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</row>
    <row r="427" customHeight="1" spans="1:20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</row>
    <row r="428" customHeight="1" spans="1:20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</row>
    <row r="429" customHeight="1" spans="1:20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</row>
    <row r="430" customHeight="1" spans="1:2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</row>
    <row r="431" customHeight="1" spans="1:20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</row>
    <row r="432" customHeight="1" spans="1:20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</row>
    <row r="433" customHeight="1" spans="1:20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</row>
    <row r="434" customHeight="1" spans="1:20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</row>
    <row r="435" customHeight="1" spans="1:20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</row>
    <row r="436" customHeight="1" spans="1:20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</row>
    <row r="437" customHeight="1" spans="1:20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</row>
    <row r="438" customHeight="1" spans="1:20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</row>
    <row r="439" customHeight="1" spans="1:20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</row>
    <row r="440" customHeight="1" spans="1:2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</row>
    <row r="441" customHeight="1" spans="1:20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</row>
    <row r="442" customHeight="1" spans="1:20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</row>
    <row r="443" customHeight="1" spans="1:20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</row>
    <row r="444" customHeight="1" spans="1:20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</row>
    <row r="445" customHeight="1" spans="1:20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</row>
    <row r="446" customHeight="1" spans="1:20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</row>
    <row r="447" customHeight="1" spans="1:20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</row>
    <row r="448" customHeight="1" spans="1:20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</row>
    <row r="449" customHeight="1" spans="1:20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</row>
    <row r="450" customHeight="1" spans="1:2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</row>
    <row r="451" customHeight="1" spans="1:20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</row>
    <row r="452" customHeight="1" spans="1:20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</row>
    <row r="453" customHeight="1" spans="1:20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</row>
    <row r="454" customHeight="1" spans="1:20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</row>
    <row r="455" customHeight="1" spans="1:20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</row>
    <row r="456" customHeight="1" spans="1:20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</row>
    <row r="457" customHeight="1" spans="1:20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</row>
    <row r="458" customHeight="1" spans="1:20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</row>
    <row r="459" customHeight="1" spans="1:20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</row>
    <row r="460" customHeight="1" spans="1:2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</row>
    <row r="461" customHeight="1" spans="1:20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</row>
    <row r="462" customHeight="1" spans="1:20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</row>
    <row r="463" customHeight="1" spans="1:20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</row>
    <row r="464" customHeight="1" spans="1:20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</row>
    <row r="465" customHeight="1" spans="1:20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</row>
    <row r="466" customHeight="1" spans="1:20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</row>
    <row r="467" customHeight="1" spans="1:20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</row>
    <row r="468" customHeight="1" spans="1:20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</row>
    <row r="469" customHeight="1" spans="1:20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</row>
    <row r="470" customHeight="1" spans="1:2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</row>
    <row r="471" customHeight="1" spans="1:20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</row>
    <row r="472" customHeight="1" spans="1:20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</row>
    <row r="473" customHeight="1" spans="1:20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</row>
    <row r="474" customHeight="1" spans="1:20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</row>
    <row r="475" customHeight="1" spans="1:20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</row>
    <row r="476" customHeight="1" spans="1:20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</row>
    <row r="477" customHeight="1" spans="1:20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</row>
    <row r="478" customHeight="1" spans="1:20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</row>
    <row r="479" customHeight="1" spans="1:20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</row>
    <row r="480" customHeight="1" spans="1:2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</row>
    <row r="481" customHeight="1" spans="1:20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</row>
    <row r="482" customHeight="1" spans="1:20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</row>
    <row r="483" customHeight="1" spans="1:20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</row>
    <row r="484" customHeight="1" spans="1:20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</row>
    <row r="485" customHeight="1" spans="1:20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</row>
    <row r="486" customHeight="1" spans="1:20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</row>
    <row r="487" customHeight="1" spans="1:20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</row>
    <row r="488" customHeight="1" spans="1:20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</row>
    <row r="489" customHeight="1" spans="1:20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</row>
    <row r="490" customHeight="1" spans="1:2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</row>
    <row r="491" customHeight="1" spans="1:20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</row>
    <row r="492" customHeight="1" spans="1:20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</row>
    <row r="493" customHeight="1" spans="1:20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</row>
    <row r="494" customHeight="1" spans="1:20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</row>
    <row r="495" customHeight="1" spans="1:20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</row>
    <row r="496" customHeight="1" spans="1:20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</row>
    <row r="497" customHeight="1" spans="1:20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</row>
    <row r="498" customHeight="1" spans="1:20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</row>
    <row r="499" customHeight="1" spans="1:20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</row>
    <row r="500" customHeight="1" spans="1:2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</row>
    <row r="501" customHeight="1" spans="1:20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</row>
    <row r="502" customHeight="1" spans="1:20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</row>
    <row r="503" customHeight="1" spans="1:20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</row>
    <row r="504" customHeight="1" spans="1:20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</row>
    <row r="505" customHeight="1" spans="1:20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</row>
    <row r="506" customHeight="1" spans="1:20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</row>
    <row r="507" customHeight="1" spans="1:20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</row>
    <row r="508" customHeight="1" spans="1:20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</row>
    <row r="509" customHeight="1" spans="1:20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</row>
    <row r="510" customHeight="1" spans="1:2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</row>
    <row r="511" customHeight="1" spans="1:20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</row>
    <row r="512" customHeight="1" spans="1:20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</row>
    <row r="513" customHeight="1" spans="1:20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</row>
    <row r="514" customHeight="1" spans="1:20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</row>
    <row r="515" customHeight="1" spans="1:20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</row>
    <row r="516" customHeight="1" spans="1:20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</row>
    <row r="517" customHeight="1" spans="1:20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</row>
    <row r="518" customHeight="1" spans="1:20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</row>
    <row r="519" customHeight="1" spans="1:20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</row>
    <row r="520" customHeight="1" spans="1: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</row>
    <row r="521" customHeight="1" spans="1:20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</row>
    <row r="522" customHeight="1" spans="1:20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</row>
    <row r="523" customHeight="1" spans="1:20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</row>
    <row r="524" customHeight="1" spans="1:20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</row>
    <row r="525" customHeight="1" spans="1:20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</row>
    <row r="526" customHeight="1" spans="1:20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</row>
    <row r="527" customHeight="1" spans="1:20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</row>
    <row r="528" customHeight="1" spans="1:20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</row>
    <row r="529" customHeight="1" spans="1:20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</row>
    <row r="530" customHeight="1" spans="1:2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</row>
    <row r="531" customHeight="1" spans="1:20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</row>
    <row r="532" customHeight="1" spans="1:20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</row>
    <row r="533" customHeight="1" spans="1:20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</row>
    <row r="534" customHeight="1" spans="1:20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</row>
    <row r="535" customHeight="1" spans="1:20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</row>
    <row r="536" customHeight="1" spans="1:20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</row>
    <row r="537" customHeight="1" spans="1:20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</row>
    <row r="538" customHeight="1" spans="1:20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</row>
    <row r="539" customHeight="1" spans="1:20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</row>
    <row r="540" customHeight="1" spans="1:2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</row>
    <row r="541" customHeight="1" spans="1:20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</row>
    <row r="542" customHeight="1" spans="1:20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</row>
    <row r="543" customHeight="1" spans="1:20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</row>
    <row r="544" customHeight="1" spans="1:20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</row>
    <row r="545" customHeight="1" spans="1:20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</row>
    <row r="546" customHeight="1" spans="1:20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</row>
    <row r="547" customHeight="1" spans="1:20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</row>
    <row r="548" customHeight="1" spans="1:20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</row>
    <row r="549" customHeight="1" spans="1:20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</row>
    <row r="550" customHeight="1" spans="1:2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</row>
    <row r="551" customHeight="1" spans="1:20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</row>
    <row r="552" customHeight="1" spans="1:20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</row>
    <row r="553" customHeight="1" spans="1:20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</row>
    <row r="554" customHeight="1" spans="1:20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</row>
    <row r="555" customHeight="1" spans="1:20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</row>
    <row r="556" customHeight="1" spans="1:20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</row>
    <row r="557" customHeight="1" spans="1:20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</row>
    <row r="558" customHeight="1" spans="1:20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</row>
    <row r="559" customHeight="1" spans="1:20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</row>
    <row r="560" customHeight="1" spans="1:2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</row>
    <row r="561" customHeight="1" spans="1:20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</row>
    <row r="562" customHeight="1" spans="1:20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</row>
    <row r="563" customHeight="1" spans="1:20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</row>
    <row r="564" customHeight="1" spans="1:20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</row>
    <row r="565" customHeight="1" spans="1:20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</row>
    <row r="566" customHeight="1" spans="1:20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</row>
    <row r="567" customHeight="1" spans="1:20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</row>
    <row r="568" customHeight="1" spans="1:20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</row>
    <row r="569" customHeight="1" spans="1:20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</row>
    <row r="570" customHeight="1" spans="1:2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</row>
    <row r="571" customHeight="1" spans="1:20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</row>
    <row r="572" customHeight="1" spans="1:20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</row>
    <row r="573" customHeight="1" spans="1:20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</row>
    <row r="574" customHeight="1" spans="1:20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</row>
    <row r="575" customHeight="1" spans="1:20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</row>
    <row r="576" customHeight="1" spans="1:20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</row>
    <row r="577" customHeight="1" spans="1:20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</row>
    <row r="578" customHeight="1" spans="1:20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</row>
    <row r="579" customHeight="1" spans="1:20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</row>
    <row r="580" customHeight="1" spans="1:2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</row>
    <row r="581" customHeight="1" spans="1:20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</row>
    <row r="582" customHeight="1" spans="1:20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</row>
    <row r="583" customHeight="1" spans="1:20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</row>
    <row r="584" customHeight="1" spans="1:20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</row>
    <row r="585" customHeight="1" spans="1:20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</row>
    <row r="586" customHeight="1" spans="1:20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</row>
    <row r="587" customHeight="1" spans="1:20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</row>
    <row r="588" customHeight="1" spans="1:20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</row>
    <row r="589" customHeight="1" spans="1:20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</row>
    <row r="590" customHeight="1" spans="1:2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</row>
    <row r="591" customHeight="1" spans="1:20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</row>
    <row r="592" customHeight="1" spans="1:20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</row>
    <row r="593" customHeight="1" spans="1:20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</row>
    <row r="594" customHeight="1" spans="1:20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</row>
    <row r="595" customHeight="1" spans="1:20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</row>
    <row r="596" customHeight="1" spans="1:20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</row>
    <row r="597" customHeight="1" spans="1:20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</row>
    <row r="598" customHeight="1" spans="1:20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</row>
    <row r="599" customHeight="1" spans="1:20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</row>
    <row r="600" customHeight="1" spans="1:2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</row>
    <row r="601" customHeight="1" spans="1:20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</row>
    <row r="602" customHeight="1" spans="1:20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</row>
    <row r="603" customHeight="1" spans="1:20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</row>
    <row r="604" customHeight="1" spans="1:20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</row>
    <row r="605" customHeight="1" spans="1:20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</row>
    <row r="606" customHeight="1" spans="1:20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</row>
    <row r="607" customHeight="1" spans="1:20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</row>
    <row r="608" customHeight="1" spans="1:20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</row>
    <row r="609" customHeight="1" spans="1:20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</row>
    <row r="610" customHeight="1" spans="1:2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</row>
    <row r="611" customHeight="1" spans="1:20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</row>
    <row r="612" customHeight="1" spans="1:20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</row>
    <row r="613" customHeight="1" spans="1:20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</row>
    <row r="614" customHeight="1" spans="1:20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</row>
    <row r="615" customHeight="1" spans="1:20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</row>
    <row r="616" customHeight="1" spans="1:20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</row>
    <row r="617" customHeight="1" spans="1:20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</row>
    <row r="618" customHeight="1" spans="1:20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</row>
    <row r="619" customHeight="1" spans="1:20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</row>
    <row r="620" customHeight="1" spans="1: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</row>
    <row r="621" customHeight="1" spans="1:20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</row>
    <row r="622" customHeight="1" spans="1:20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</row>
    <row r="623" customHeight="1" spans="1:20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</row>
    <row r="624" customHeight="1" spans="1:20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</row>
    <row r="625" customHeight="1" spans="1:20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</row>
    <row r="626" customHeight="1" spans="1:20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</row>
    <row r="627" customHeight="1" spans="1:20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</row>
    <row r="628" customHeight="1" spans="1:20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</row>
    <row r="629" customHeight="1" spans="1:20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</row>
    <row r="630" customHeight="1" spans="1:2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</row>
    <row r="631" customHeight="1" spans="1:20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</row>
    <row r="632" customHeight="1" spans="1:20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</row>
    <row r="633" customHeight="1" spans="1:20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</row>
    <row r="634" customHeight="1" spans="1:20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</row>
    <row r="635" customHeight="1" spans="1:20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</row>
    <row r="636" customHeight="1" spans="1:20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</row>
    <row r="637" customHeight="1" spans="1:20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</row>
    <row r="638" customHeight="1" spans="1:20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</row>
    <row r="639" customHeight="1" spans="1:20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</row>
    <row r="640" customHeight="1" spans="1:2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</row>
    <row r="641" customHeight="1" spans="1:20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</row>
    <row r="642" customHeight="1" spans="1:20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</row>
    <row r="643" customHeight="1" spans="1:20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</row>
    <row r="644" customHeight="1" spans="1:20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</row>
    <row r="645" customHeight="1" spans="1:20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</row>
    <row r="646" customHeight="1" spans="1:20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</row>
    <row r="647" customHeight="1" spans="1:20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</row>
    <row r="648" customHeight="1" spans="1:20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</row>
    <row r="649" customHeight="1" spans="1:20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</row>
    <row r="650" customHeight="1" spans="1:2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</row>
    <row r="651" customHeight="1" spans="1:20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</row>
    <row r="652" customHeight="1" spans="1:20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</row>
    <row r="653" customHeight="1" spans="1:20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</row>
    <row r="654" customHeight="1" spans="1:20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</row>
    <row r="655" customHeight="1" spans="1:20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</row>
    <row r="656" customHeight="1" spans="1:20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</row>
    <row r="657" customHeight="1" spans="1:20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</row>
    <row r="658" customHeight="1" spans="1:20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</row>
    <row r="659" customHeight="1" spans="1:20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</row>
    <row r="660" customHeight="1" spans="1:2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</row>
    <row r="661" customHeight="1" spans="1:20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</row>
    <row r="662" customHeight="1" spans="1:20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</row>
    <row r="663" customHeight="1" spans="1:20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</row>
    <row r="664" customHeight="1" spans="1:20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</row>
    <row r="665" customHeight="1" spans="1:20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</row>
    <row r="666" customHeight="1" spans="1:20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</row>
    <row r="667" customHeight="1" spans="1:20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</row>
    <row r="668" customHeight="1" spans="1:20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</row>
    <row r="669" customHeight="1" spans="1:20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</row>
    <row r="670" customHeight="1" spans="1:2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</row>
    <row r="671" customHeight="1" spans="1:20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</row>
    <row r="672" customHeight="1" spans="1:20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</row>
    <row r="673" customHeight="1" spans="1:20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</row>
    <row r="674" customHeight="1" spans="1:20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</row>
    <row r="675" customHeight="1" spans="1:20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</row>
    <row r="676" customHeight="1" spans="1:20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</row>
    <row r="677" customHeight="1" spans="1:20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</row>
    <row r="678" customHeight="1" spans="1:20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</row>
    <row r="679" customHeight="1" spans="1:20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</row>
    <row r="680" customHeight="1" spans="1:2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</row>
    <row r="681" customHeight="1" spans="1:20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</row>
    <row r="682" customHeight="1" spans="1:20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</row>
    <row r="683" customHeight="1" spans="1:20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</row>
    <row r="684" customHeight="1" spans="1:20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</row>
    <row r="685" customHeight="1" spans="1:20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</row>
    <row r="686" customHeight="1" spans="1:20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</row>
    <row r="687" customHeight="1" spans="1:20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</row>
    <row r="688" customHeight="1" spans="1:20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</row>
    <row r="689" customHeight="1" spans="1:20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</row>
    <row r="690" customHeight="1" spans="1:2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</row>
    <row r="691" customHeight="1" spans="1:20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</row>
    <row r="692" customHeight="1" spans="1:20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</row>
    <row r="693" customHeight="1" spans="1:20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</row>
    <row r="694" customHeight="1" spans="1:20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</row>
    <row r="695" customHeight="1" spans="1:20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</row>
    <row r="696" customHeight="1" spans="1:20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</row>
    <row r="697" customHeight="1" spans="1:20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</row>
    <row r="698" customHeight="1" spans="1:20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</row>
    <row r="699" customHeight="1" spans="1:20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</row>
    <row r="700" customHeight="1" spans="1:2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</row>
    <row r="701" customHeight="1" spans="1:20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</row>
    <row r="702" customHeight="1" spans="1:20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</row>
    <row r="703" customHeight="1" spans="1:20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</row>
    <row r="704" customHeight="1" spans="1:20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</row>
    <row r="705" customHeight="1" spans="1:20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</row>
    <row r="706" customHeight="1" spans="1:20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</row>
    <row r="707" customHeight="1" spans="1:20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</row>
    <row r="708" customHeight="1" spans="1:20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</row>
    <row r="709" customHeight="1" spans="1:20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</row>
    <row r="710" customHeight="1" spans="1:2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</row>
    <row r="711" customHeight="1" spans="1:20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</row>
    <row r="712" customHeight="1" spans="1:20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</row>
    <row r="713" customHeight="1" spans="1:20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</row>
    <row r="714" customHeight="1" spans="1:20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</row>
    <row r="715" customHeight="1" spans="1:20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</row>
    <row r="716" customHeight="1" spans="1:20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</row>
    <row r="717" customHeight="1" spans="1:20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</row>
    <row r="718" customHeight="1" spans="1:20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</row>
    <row r="719" customHeight="1" spans="1:20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</row>
    <row r="720" customHeight="1" spans="1: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</row>
    <row r="721" customHeight="1" spans="1:20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</row>
    <row r="722" customHeight="1" spans="1:20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</row>
    <row r="723" customHeight="1" spans="1:20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</row>
    <row r="724" customHeight="1" spans="1:20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</row>
    <row r="725" customHeight="1" spans="1:20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</row>
    <row r="726" customHeight="1" spans="1:20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</row>
    <row r="727" customHeight="1" spans="1:20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</row>
    <row r="728" customHeight="1" spans="1:20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</row>
    <row r="729" customHeight="1" spans="1:20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</row>
    <row r="730" customHeight="1" spans="1:2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</row>
    <row r="731" customHeight="1" spans="1:20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</row>
    <row r="732" customHeight="1" spans="1:20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</row>
    <row r="733" customHeight="1" spans="1:20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</row>
    <row r="734" customHeight="1" spans="1:20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</row>
    <row r="735" customHeight="1" spans="1:20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</row>
    <row r="736" customHeight="1" spans="1:20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</row>
    <row r="737" customHeight="1" spans="1:20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</row>
    <row r="738" customHeight="1" spans="1:20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</row>
    <row r="739" customHeight="1" spans="1:20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</row>
    <row r="740" customHeight="1" spans="1:2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</row>
    <row r="741" customHeight="1" spans="1:20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</row>
    <row r="742" customHeight="1" spans="1:20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</row>
    <row r="743" customHeight="1" spans="1:20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</row>
    <row r="744" customHeight="1" spans="1:20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</row>
    <row r="745" customHeight="1" spans="1:20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</row>
    <row r="746" customHeight="1" spans="1:20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</row>
    <row r="747" customHeight="1" spans="1:20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</row>
    <row r="748" customHeight="1" spans="1:20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</row>
    <row r="749" customHeight="1" spans="1:20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</row>
    <row r="750" customHeight="1" spans="1:2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</row>
    <row r="751" customHeight="1" spans="1:20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</row>
    <row r="752" customHeight="1" spans="1:20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</row>
    <row r="753" customHeight="1" spans="1:20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</row>
    <row r="754" customHeight="1" spans="1:20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</row>
    <row r="755" customHeight="1" spans="1:20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</row>
    <row r="756" customHeight="1" spans="1:20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</row>
    <row r="757" customHeight="1" spans="1:20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</row>
    <row r="758" customHeight="1" spans="1:20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</row>
    <row r="759" customHeight="1" spans="1:20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</row>
    <row r="760" customHeight="1" spans="1:2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</row>
    <row r="761" customHeight="1" spans="1:20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</row>
    <row r="762" customHeight="1" spans="1:20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</row>
    <row r="763" customHeight="1" spans="1:20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</row>
    <row r="764" customHeight="1" spans="1:20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</row>
    <row r="765" customHeight="1" spans="1:20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</row>
    <row r="766" customHeight="1" spans="1:20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</row>
    <row r="767" customHeight="1" spans="1:20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</row>
    <row r="768" customHeight="1" spans="1:20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</row>
    <row r="769" customHeight="1" spans="1:20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</row>
    <row r="770" customHeight="1" spans="1:2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</row>
    <row r="771" customHeight="1" spans="1:20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</row>
    <row r="772" customHeight="1" spans="1:20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</row>
    <row r="773" customHeight="1" spans="1:20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</row>
    <row r="774" customHeight="1" spans="1:20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</row>
    <row r="775" customHeight="1" spans="1:20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</row>
    <row r="776" customHeight="1" spans="1:20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</row>
    <row r="777" customHeight="1" spans="1:20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</row>
    <row r="778" customHeight="1" spans="1:20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</row>
    <row r="779" customHeight="1" spans="1:20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</row>
    <row r="780" customHeight="1" spans="1:2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</row>
    <row r="781" customHeight="1" spans="1:20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</row>
    <row r="782" customHeight="1" spans="1:20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</row>
    <row r="783" customHeight="1" spans="1:20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</row>
    <row r="784" customHeight="1" spans="1:20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</row>
    <row r="785" customHeight="1" spans="1:20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</row>
    <row r="786" customHeight="1" spans="1:20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</row>
    <row r="787" customHeight="1" spans="1:20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</row>
    <row r="788" customHeight="1" spans="1:20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</row>
    <row r="789" customHeight="1" spans="1:20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</row>
    <row r="790" customHeight="1" spans="1:2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</row>
    <row r="791" customHeight="1" spans="1:20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</row>
    <row r="792" customHeight="1" spans="1:20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</row>
    <row r="793" customHeight="1" spans="1:20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</row>
    <row r="794" customHeight="1" spans="1:20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</row>
    <row r="795" customHeight="1" spans="1:20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</row>
    <row r="796" customHeight="1" spans="1:20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</row>
    <row r="797" customHeight="1" spans="1:20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</row>
    <row r="798" customHeight="1" spans="1:20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</row>
    <row r="799" customHeight="1" spans="1:20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</row>
    <row r="800" customHeight="1" spans="1:2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</row>
    <row r="801" customHeight="1" spans="1:20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</row>
    <row r="802" customHeight="1" spans="1:20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</row>
    <row r="803" customHeight="1" spans="1:20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</row>
    <row r="804" customHeight="1" spans="1:20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</row>
    <row r="805" customHeight="1" spans="1:20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</row>
    <row r="806" customHeight="1" spans="1:20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</row>
    <row r="807" customHeight="1" spans="1:20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</row>
    <row r="808" customHeight="1" spans="1:20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</row>
    <row r="809" customHeight="1" spans="1:20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</row>
    <row r="810" customHeight="1" spans="1:2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</row>
    <row r="811" customHeight="1" spans="1:20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</row>
    <row r="812" customHeight="1" spans="1:20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</row>
    <row r="813" customHeight="1" spans="1:20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</row>
    <row r="814" customHeight="1" spans="1:20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</row>
    <row r="815" customHeight="1" spans="1:20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</row>
    <row r="816" customHeight="1" spans="1:20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</row>
    <row r="817" customHeight="1" spans="1:20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</row>
    <row r="818" customHeight="1" spans="1:20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</row>
    <row r="819" customHeight="1" spans="1:20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</row>
    <row r="820" customHeight="1" spans="1: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</row>
    <row r="821" customHeight="1" spans="1:20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</row>
    <row r="822" customHeight="1" spans="1:20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</row>
    <row r="823" customHeight="1" spans="1:20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</row>
    <row r="824" customHeight="1" spans="1:20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</row>
    <row r="825" customHeight="1" spans="1:20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</row>
    <row r="826" customHeight="1" spans="1:20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</row>
    <row r="827" customHeight="1" spans="1:20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</row>
    <row r="828" customHeight="1" spans="1:20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</row>
    <row r="829" customHeight="1" spans="1:20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</row>
    <row r="830" customHeight="1" spans="1:2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</row>
    <row r="831" customHeight="1" spans="1:20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</row>
    <row r="832" customHeight="1" spans="1:20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</row>
    <row r="833" customHeight="1" spans="1:20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</row>
    <row r="834" customHeight="1" spans="1:20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</row>
    <row r="835" customHeight="1" spans="1:20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</row>
    <row r="836" customHeight="1" spans="1:20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</row>
    <row r="837" customHeight="1" spans="1:20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</row>
    <row r="838" customHeight="1" spans="1:20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</row>
    <row r="839" customHeight="1" spans="1:20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</row>
    <row r="840" customHeight="1" spans="1:2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</row>
    <row r="841" customHeight="1" spans="1:20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</row>
    <row r="842" customHeight="1" spans="1:20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</row>
    <row r="843" customHeight="1" spans="1:20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</row>
    <row r="844" customHeight="1" spans="1:20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</row>
    <row r="845" customHeight="1" spans="1:20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</row>
    <row r="846" customHeight="1" spans="1:20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</row>
    <row r="847" customHeight="1" spans="1:20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</row>
    <row r="848" customHeight="1" spans="1:20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</row>
    <row r="849" customHeight="1" spans="1:20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</row>
    <row r="850" customHeight="1" spans="1:2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</row>
    <row r="851" customHeight="1" spans="1:20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</row>
    <row r="852" customHeight="1" spans="1:20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</row>
    <row r="853" customHeight="1" spans="1:20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</row>
    <row r="854" customHeight="1" spans="1:20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</row>
    <row r="855" customHeight="1" spans="1:20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</row>
    <row r="856" customHeight="1" spans="1:20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</row>
    <row r="857" customHeight="1" spans="1:20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</row>
    <row r="858" customHeight="1" spans="1:20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</row>
    <row r="859" customHeight="1" spans="1:20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</row>
    <row r="860" customHeight="1" spans="1:2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</row>
    <row r="861" customHeight="1" spans="1:20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</row>
    <row r="862" customHeight="1" spans="1:20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</row>
    <row r="863" customHeight="1" spans="1:20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</row>
    <row r="864" customHeight="1" spans="1:20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</row>
    <row r="865" customHeight="1" spans="1:20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</row>
    <row r="866" customHeight="1" spans="1:20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</row>
    <row r="867" customHeight="1" spans="1:20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</row>
    <row r="868" customHeight="1" spans="1:20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</row>
    <row r="869" customHeight="1" spans="1:20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</row>
    <row r="870" customHeight="1" spans="1:2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</row>
    <row r="871" customHeight="1" spans="1:20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</row>
    <row r="872" customHeight="1" spans="1:20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</row>
    <row r="873" customHeight="1" spans="1:20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</row>
    <row r="874" customHeight="1" spans="1:20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</row>
    <row r="875" customHeight="1" spans="1:20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</row>
    <row r="876" customHeight="1" spans="1:20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</row>
    <row r="877" customHeight="1" spans="1:20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</row>
    <row r="878" customHeight="1" spans="1:20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</row>
    <row r="879" customHeight="1" spans="1:20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</row>
    <row r="880" customHeight="1" spans="1:2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</row>
    <row r="881" customHeight="1" spans="1:20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</row>
    <row r="882" customHeight="1" spans="1:20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</row>
    <row r="883" customHeight="1" spans="1:20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</row>
    <row r="884" customHeight="1" spans="1:20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</row>
    <row r="885" customHeight="1" spans="1:20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</row>
    <row r="886" customHeight="1" spans="1:20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</row>
    <row r="887" customHeight="1" spans="1:20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</row>
    <row r="888" customHeight="1" spans="1:20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</row>
    <row r="889" customHeight="1" spans="1:20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</row>
    <row r="890" customHeight="1" spans="1:2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</row>
    <row r="891" customHeight="1" spans="1:20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</row>
    <row r="892" customHeight="1" spans="1:20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</row>
    <row r="893" customHeight="1" spans="1:20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</row>
    <row r="894" customHeight="1" spans="1:20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</row>
    <row r="895" customHeight="1" spans="1:20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</row>
    <row r="896" customHeight="1" spans="1:20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</row>
    <row r="897" customHeight="1" spans="1:20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</row>
    <row r="898" customHeight="1" spans="1:20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</row>
    <row r="899" customHeight="1" spans="1:20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</row>
    <row r="900" customHeight="1" spans="1:2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</row>
    <row r="901" customHeight="1" spans="1:20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</row>
    <row r="902" customHeight="1" spans="1:20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</row>
    <row r="903" customHeight="1" spans="1:20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</row>
    <row r="904" customHeight="1" spans="1:20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</row>
    <row r="905" customHeight="1" spans="1:20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</row>
    <row r="906" customHeight="1" spans="1:20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</row>
    <row r="907" customHeight="1" spans="1:20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</row>
    <row r="908" customHeight="1" spans="1:20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</row>
    <row r="909" customHeight="1" spans="1:20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</row>
    <row r="910" customHeight="1" spans="1:2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</row>
    <row r="911" customHeight="1" spans="1:20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</row>
    <row r="912" customHeight="1" spans="1:20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</row>
    <row r="913" customHeight="1" spans="1:20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</row>
    <row r="914" customHeight="1" spans="1:20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</row>
    <row r="915" customHeight="1" spans="1:20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</row>
    <row r="916" customHeight="1" spans="1:20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</row>
    <row r="917" customHeight="1" spans="1:20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</row>
    <row r="918" customHeight="1" spans="1:20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</row>
    <row r="919" customHeight="1" spans="1:20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</row>
    <row r="920" customHeight="1" spans="1: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</row>
    <row r="921" customHeight="1" spans="1:20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</row>
    <row r="922" customHeight="1" spans="1:20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</row>
    <row r="923" customHeight="1" spans="1:20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</row>
    <row r="924" customHeight="1" spans="1:20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</row>
    <row r="925" customHeight="1" spans="1:20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</row>
    <row r="926" customHeight="1" spans="1:20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</row>
    <row r="927" customHeight="1" spans="1:20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</row>
    <row r="928" customHeight="1" spans="1:20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</row>
    <row r="929" customHeight="1" spans="1:20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</row>
    <row r="930" customHeight="1" spans="1:2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</row>
    <row r="931" customHeight="1" spans="1:20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</row>
    <row r="932" customHeight="1" spans="1:20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</row>
    <row r="933" customHeight="1" spans="1:20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</row>
    <row r="934" customHeight="1" spans="1:20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</row>
    <row r="935" customHeight="1" spans="1:20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</row>
    <row r="936" customHeight="1" spans="1:20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</row>
    <row r="937" customHeight="1" spans="1:20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</row>
    <row r="938" customHeight="1" spans="1:20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</row>
    <row r="939" customHeight="1" spans="1:20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</row>
    <row r="940" customHeight="1" spans="1:2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</row>
    <row r="941" customHeight="1" spans="1:20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</row>
    <row r="942" customHeight="1" spans="1:20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</row>
    <row r="943" customHeight="1" spans="1:20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</row>
    <row r="944" customHeight="1" spans="1:20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</row>
    <row r="945" customHeight="1" spans="1:20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</row>
    <row r="946" customHeight="1" spans="1:20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</row>
    <row r="947" customHeight="1" spans="1:20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</row>
    <row r="948" customHeight="1" spans="1:20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</row>
    <row r="949" customHeight="1" spans="1:20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</row>
    <row r="950" customHeight="1" spans="1:2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</row>
    <row r="951" customHeight="1" spans="1:20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</row>
    <row r="952" customHeight="1" spans="1:20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</row>
    <row r="953" customHeight="1" spans="1:20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</row>
    <row r="954" customHeight="1" spans="1:20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</row>
    <row r="955" customHeight="1" spans="1:20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</row>
    <row r="956" customHeight="1" spans="1:20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</row>
    <row r="957" customHeight="1" spans="1:20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</row>
    <row r="958" customHeight="1" spans="1:20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</row>
    <row r="959" customHeight="1" spans="1:20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</row>
    <row r="960" customHeight="1" spans="1:2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</row>
    <row r="961" customHeight="1" spans="1:20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</row>
    <row r="962" customHeight="1" spans="1:20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</row>
    <row r="963" customHeight="1" spans="1:20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</row>
    <row r="964" customHeight="1" spans="1:20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</row>
    <row r="965" customHeight="1" spans="1:20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</row>
    <row r="966" customHeight="1" spans="1:20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</row>
    <row r="967" customHeight="1" spans="1:20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</row>
    <row r="968" customHeight="1" spans="1:20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</row>
    <row r="969" customHeight="1" spans="1:20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</row>
    <row r="970" customHeight="1" spans="1:2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</row>
    <row r="971" customHeight="1" spans="1:20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</row>
    <row r="972" customHeight="1" spans="1:20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</row>
    <row r="973" customHeight="1" spans="1:20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</row>
    <row r="974" customHeight="1" spans="1:20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</row>
    <row r="975" customHeight="1" spans="1:20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</row>
    <row r="976" customHeight="1" spans="1:20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</row>
    <row r="977" customHeight="1" spans="1:20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</row>
    <row r="978" customHeight="1" spans="1:20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</row>
    <row r="979" customHeight="1" spans="1:20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</row>
    <row r="980" customHeight="1" spans="1:2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</row>
    <row r="981" customHeight="1" spans="1:20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</row>
    <row r="982" customHeight="1" spans="1:20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</row>
    <row r="983" customHeight="1" spans="1:20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</row>
    <row r="984" customHeight="1" spans="1:20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</row>
    <row r="985" customHeight="1" spans="1:20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</row>
    <row r="986" customHeight="1" spans="1:20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</row>
    <row r="987" customHeight="1" spans="1:20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</row>
    <row r="988" customHeight="1" spans="1:20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</row>
    <row r="989" customHeight="1" spans="1:20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</row>
    <row r="990" customHeight="1" spans="1:2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</row>
    <row r="991" customHeight="1" spans="1:20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</row>
    <row r="992" customHeight="1" spans="1:20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</row>
    <row r="993" customHeight="1" spans="1:20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</row>
    <row r="994" customHeight="1" spans="1:20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</row>
    <row r="995" customHeight="1" spans="1:20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</row>
    <row r="996" customHeight="1" spans="1:20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</row>
    <row r="997" customHeight="1" spans="1:20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</row>
    <row r="998" customHeight="1" spans="1:20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</row>
    <row r="999" customHeight="1" spans="1:20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</row>
    <row r="1000" customHeight="1" spans="1:2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</row>
    <row r="1001" customHeight="1" spans="1:20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</row>
    <row r="1002" customHeight="1" spans="1:20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</row>
  </sheetData>
  <mergeCells count="28">
    <mergeCell ref="A3:C3"/>
    <mergeCell ref="A4:B4"/>
    <mergeCell ref="A5:B5"/>
    <mergeCell ref="A6:B6"/>
    <mergeCell ref="A7:B7"/>
    <mergeCell ref="A8:B8"/>
    <mergeCell ref="A9:B9"/>
    <mergeCell ref="B13:D13"/>
    <mergeCell ref="B14:D14"/>
    <mergeCell ref="B15:D15"/>
    <mergeCell ref="B16:D16"/>
    <mergeCell ref="B17:D17"/>
    <mergeCell ref="B32:C32"/>
    <mergeCell ref="B33:C33"/>
    <mergeCell ref="B34:D34"/>
    <mergeCell ref="B35:D35"/>
    <mergeCell ref="B36:D36"/>
    <mergeCell ref="B37:D37"/>
    <mergeCell ref="B38:D38"/>
    <mergeCell ref="B39:D39"/>
    <mergeCell ref="B40:D40"/>
    <mergeCell ref="B41:D41"/>
    <mergeCell ref="A13:A17"/>
    <mergeCell ref="A18:A35"/>
    <mergeCell ref="A36:A41"/>
    <mergeCell ref="B18:B24"/>
    <mergeCell ref="B25:B28"/>
    <mergeCell ref="B29:B31"/>
  </mergeCells>
  <hyperlinks>
    <hyperlink ref="B1" r:id="rId1" location="gid=1461799922" display="IB/OB Investment Case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showGridLines="0" workbookViewId="0">
      <selection activeCell="A1" sqref="A1"/>
    </sheetView>
  </sheetViews>
  <sheetFormatPr defaultColWidth="12.6339285714286" defaultRowHeight="15.75" customHeight="1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11"/>
  <sheetViews>
    <sheetView showGridLines="0" workbookViewId="0">
      <selection activeCell="A1" sqref="A1"/>
    </sheetView>
  </sheetViews>
  <sheetFormatPr defaultColWidth="12.6339285714286" defaultRowHeight="15.75" customHeight="1"/>
  <cols>
    <col min="1" max="1" width="24.1339285714286" customWidth="1"/>
  </cols>
  <sheetData>
    <row r="1" customHeight="1" spans="1:39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Height="1" spans="1:25">
      <c r="A2" s="3" t="s">
        <v>199</v>
      </c>
      <c r="B2" s="4">
        <v>1880667</v>
      </c>
      <c r="C2" s="4">
        <v>1973233</v>
      </c>
      <c r="D2" s="4">
        <v>2470753</v>
      </c>
      <c r="E2" s="4">
        <v>2444925</v>
      </c>
      <c r="F2" s="4">
        <v>2433122</v>
      </c>
      <c r="G2" s="4">
        <v>2514783</v>
      </c>
      <c r="H2" s="4">
        <v>2382475</v>
      </c>
      <c r="I2" s="4">
        <v>2400120</v>
      </c>
      <c r="J2" s="4">
        <v>3541727</v>
      </c>
      <c r="K2" s="4">
        <v>4196581</v>
      </c>
      <c r="L2" s="4">
        <v>4211125</v>
      </c>
      <c r="M2" s="4">
        <v>3625334</v>
      </c>
      <c r="N2" s="4">
        <v>3863383</v>
      </c>
      <c r="O2" s="4">
        <v>3677976</v>
      </c>
      <c r="P2" s="4">
        <v>4512303</v>
      </c>
      <c r="Q2" s="4">
        <v>4730011</v>
      </c>
      <c r="R2" s="4">
        <v>5034137</v>
      </c>
      <c r="S2" s="4">
        <v>4694585</v>
      </c>
      <c r="T2" s="4">
        <v>3915827</v>
      </c>
      <c r="U2" s="4">
        <v>4350718</v>
      </c>
      <c r="V2" s="4">
        <v>5688036</v>
      </c>
      <c r="W2" s="4">
        <v>5963947</v>
      </c>
      <c r="X2" s="4">
        <v>5774993</v>
      </c>
      <c r="Y2" s="4">
        <v>5571651</v>
      </c>
    </row>
    <row r="3" customHeight="1" spans="1:1">
      <c r="A3" s="5" t="s">
        <v>200</v>
      </c>
    </row>
    <row r="5" customHeight="1" spans="1:39">
      <c r="A5" s="6" t="s">
        <v>201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customHeight="1" spans="1:39">
      <c r="A6" s="8" t="s">
        <v>202</v>
      </c>
      <c r="B6" s="9">
        <v>45658</v>
      </c>
      <c r="C6" s="9">
        <v>45689</v>
      </c>
      <c r="D6" s="9">
        <v>45717</v>
      </c>
      <c r="E6" s="9">
        <v>45748</v>
      </c>
      <c r="F6" s="9">
        <v>45778</v>
      </c>
      <c r="G6" s="9">
        <v>45809</v>
      </c>
      <c r="H6" s="9">
        <v>45839</v>
      </c>
      <c r="I6" s="9">
        <v>45870</v>
      </c>
      <c r="J6" s="9">
        <v>45901</v>
      </c>
      <c r="K6" s="9">
        <v>45931</v>
      </c>
      <c r="L6" s="9">
        <v>45962</v>
      </c>
      <c r="M6" s="9">
        <v>45992</v>
      </c>
      <c r="N6" s="9">
        <f t="shared" ref="N6:Y6" si="0">EDATE(M6,1)</f>
        <v>46023</v>
      </c>
      <c r="O6" s="9">
        <f t="shared" si="0"/>
        <v>46054</v>
      </c>
      <c r="P6" s="9">
        <f t="shared" si="0"/>
        <v>46082</v>
      </c>
      <c r="Q6" s="9">
        <f t="shared" si="0"/>
        <v>46113</v>
      </c>
      <c r="R6" s="9">
        <f t="shared" si="0"/>
        <v>46143</v>
      </c>
      <c r="S6" s="9">
        <f t="shared" si="0"/>
        <v>46174</v>
      </c>
      <c r="T6" s="9">
        <f t="shared" si="0"/>
        <v>46204</v>
      </c>
      <c r="U6" s="9">
        <f t="shared" si="0"/>
        <v>46235</v>
      </c>
      <c r="V6" s="9">
        <f t="shared" si="0"/>
        <v>46266</v>
      </c>
      <c r="W6" s="9">
        <f t="shared" si="0"/>
        <v>46296</v>
      </c>
      <c r="X6" s="9">
        <f t="shared" si="0"/>
        <v>46327</v>
      </c>
      <c r="Y6" s="9">
        <f t="shared" si="0"/>
        <v>46357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7"/>
    </row>
    <row r="7" customHeight="1" spans="1:39">
      <c r="A7" s="10" t="s">
        <v>203</v>
      </c>
      <c r="B7" s="11">
        <v>1120173</v>
      </c>
      <c r="C7" s="11">
        <v>1192725</v>
      </c>
      <c r="D7" s="11">
        <v>1518986</v>
      </c>
      <c r="E7" s="11">
        <v>1514711</v>
      </c>
      <c r="F7" s="11">
        <v>1601775</v>
      </c>
      <c r="G7" s="11">
        <v>1493014</v>
      </c>
      <c r="H7" s="11">
        <v>1309453</v>
      </c>
      <c r="I7" s="11">
        <v>1045239</v>
      </c>
      <c r="J7" s="11">
        <v>1984824</v>
      </c>
      <c r="K7" s="11">
        <v>2310638</v>
      </c>
      <c r="L7" s="11">
        <v>2368297</v>
      </c>
      <c r="M7" s="11">
        <v>1986295</v>
      </c>
      <c r="N7" s="24">
        <f t="shared" ref="N7:Y7" si="1">N$2/B$2*B7</f>
        <v>2301128.97459199</v>
      </c>
      <c r="O7" s="24">
        <f t="shared" si="1"/>
        <v>2223160.63262676</v>
      </c>
      <c r="P7" s="24">
        <f t="shared" si="1"/>
        <v>2774103.71848501</v>
      </c>
      <c r="Q7" s="24">
        <f t="shared" si="1"/>
        <v>2930396.51188523</v>
      </c>
      <c r="R7" s="24">
        <f t="shared" si="1"/>
        <v>3314077.46638886</v>
      </c>
      <c r="S7" s="24">
        <f t="shared" si="1"/>
        <v>2787151.46761768</v>
      </c>
      <c r="T7" s="24">
        <f t="shared" si="1"/>
        <v>2152212.05369668</v>
      </c>
      <c r="U7" s="24">
        <f t="shared" si="1"/>
        <v>1894713.65248488</v>
      </c>
      <c r="V7" s="24">
        <f t="shared" si="1"/>
        <v>3187639.91850981</v>
      </c>
      <c r="W7" s="24">
        <f t="shared" si="1"/>
        <v>3283749.93076173</v>
      </c>
      <c r="X7" s="24">
        <f t="shared" si="1"/>
        <v>3247801.6199759</v>
      </c>
      <c r="Y7" s="24">
        <f t="shared" si="1"/>
        <v>3052668.39497961</v>
      </c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7"/>
    </row>
    <row r="8" customHeight="1" spans="1:39">
      <c r="A8" s="12" t="s">
        <v>204</v>
      </c>
      <c r="B8" s="13">
        <v>409795</v>
      </c>
      <c r="C8" s="13">
        <v>437423</v>
      </c>
      <c r="D8" s="13">
        <v>542830</v>
      </c>
      <c r="E8" s="13">
        <v>536441</v>
      </c>
      <c r="F8" s="13">
        <v>570952</v>
      </c>
      <c r="G8" s="13">
        <v>611409</v>
      </c>
      <c r="H8" s="13">
        <v>635757</v>
      </c>
      <c r="I8" s="13">
        <v>496017</v>
      </c>
      <c r="J8" s="13">
        <v>959731</v>
      </c>
      <c r="K8" s="13">
        <v>1138172</v>
      </c>
      <c r="L8" s="13">
        <v>1154209</v>
      </c>
      <c r="M8" s="13">
        <v>972925</v>
      </c>
      <c r="N8" s="24">
        <f t="shared" ref="N8:Y8" si="2">N$2/B$2*B8</f>
        <v>841826.350164596</v>
      </c>
      <c r="O8" s="24">
        <f t="shared" si="2"/>
        <v>815327.584653206</v>
      </c>
      <c r="P8" s="24">
        <f t="shared" si="2"/>
        <v>991363.134028371</v>
      </c>
      <c r="Q8" s="24">
        <f t="shared" si="2"/>
        <v>1037811.72463409</v>
      </c>
      <c r="R8" s="24">
        <f t="shared" si="2"/>
        <v>1181301.46717838</v>
      </c>
      <c r="S8" s="24">
        <f t="shared" si="2"/>
        <v>1141375.42693147</v>
      </c>
      <c r="T8" s="24">
        <f t="shared" si="2"/>
        <v>1044927.82759064</v>
      </c>
      <c r="U8" s="24">
        <f t="shared" si="2"/>
        <v>899134.247540123</v>
      </c>
      <c r="V8" s="24">
        <f t="shared" si="2"/>
        <v>1541334.06621007</v>
      </c>
      <c r="W8" s="24">
        <f t="shared" si="2"/>
        <v>1617506.60475373</v>
      </c>
      <c r="X8" s="24">
        <f t="shared" si="2"/>
        <v>1582842.8022291</v>
      </c>
      <c r="Y8" s="24">
        <f t="shared" si="2"/>
        <v>1495254.93352475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7"/>
    </row>
    <row r="9" customHeight="1" spans="1:39">
      <c r="A9" s="10" t="s">
        <v>205</v>
      </c>
      <c r="B9" s="11">
        <v>-289765</v>
      </c>
      <c r="C9" s="11">
        <v>-312615</v>
      </c>
      <c r="D9" s="11">
        <v>-390064</v>
      </c>
      <c r="E9" s="11">
        <v>-388117</v>
      </c>
      <c r="F9" s="11">
        <v>-410216</v>
      </c>
      <c r="G9" s="11">
        <v>-380404</v>
      </c>
      <c r="H9" s="11">
        <v>-315840</v>
      </c>
      <c r="I9" s="11">
        <v>-246034</v>
      </c>
      <c r="J9" s="11">
        <v>-480118</v>
      </c>
      <c r="K9" s="11">
        <v>-560460</v>
      </c>
      <c r="L9" s="11">
        <v>-574744</v>
      </c>
      <c r="M9" s="11">
        <v>-482818</v>
      </c>
      <c r="N9" s="24">
        <f t="shared" ref="N9:Y9" si="3">N$2/B$2*B9</f>
        <v>-595253.266524589</v>
      </c>
      <c r="O9" s="24">
        <f t="shared" si="3"/>
        <v>-582693.714954088</v>
      </c>
      <c r="P9" s="24">
        <f t="shared" si="3"/>
        <v>-712368.641216666</v>
      </c>
      <c r="Q9" s="24">
        <f t="shared" si="3"/>
        <v>-750860.52917247</v>
      </c>
      <c r="R9" s="24">
        <f t="shared" si="3"/>
        <v>-848738.18229912</v>
      </c>
      <c r="S9" s="24">
        <f t="shared" si="3"/>
        <v>-710136.386455611</v>
      </c>
      <c r="T9" s="24">
        <f t="shared" si="3"/>
        <v>-519113.442818917</v>
      </c>
      <c r="U9" s="24">
        <f t="shared" si="3"/>
        <v>-445987.930775128</v>
      </c>
      <c r="V9" s="24">
        <f t="shared" si="3"/>
        <v>-771072.549704706</v>
      </c>
      <c r="W9" s="24">
        <f t="shared" si="3"/>
        <v>-796494.511989641</v>
      </c>
      <c r="X9" s="24">
        <f t="shared" si="3"/>
        <v>-788184.292034076</v>
      </c>
      <c r="Y9" s="24">
        <f t="shared" si="3"/>
        <v>-742026.360196881</v>
      </c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7"/>
    </row>
    <row r="10" customHeight="1" spans="1:39">
      <c r="A10" s="12"/>
      <c r="B10" s="14">
        <f t="shared" ref="B10:M10" si="4">B8+B9</f>
        <v>120030</v>
      </c>
      <c r="C10" s="14">
        <f t="shared" si="4"/>
        <v>124808</v>
      </c>
      <c r="D10" s="14">
        <f t="shared" si="4"/>
        <v>152766</v>
      </c>
      <c r="E10" s="14">
        <f t="shared" si="4"/>
        <v>148324</v>
      </c>
      <c r="F10" s="14">
        <f t="shared" si="4"/>
        <v>160736</v>
      </c>
      <c r="G10" s="14">
        <f t="shared" si="4"/>
        <v>231005</v>
      </c>
      <c r="H10" s="14">
        <f t="shared" si="4"/>
        <v>319917</v>
      </c>
      <c r="I10" s="14">
        <f t="shared" si="4"/>
        <v>249983</v>
      </c>
      <c r="J10" s="14">
        <f t="shared" si="4"/>
        <v>479613</v>
      </c>
      <c r="K10" s="14">
        <f t="shared" si="4"/>
        <v>577712</v>
      </c>
      <c r="L10" s="14">
        <f t="shared" si="4"/>
        <v>579465</v>
      </c>
      <c r="M10" s="14">
        <f t="shared" si="4"/>
        <v>490107</v>
      </c>
      <c r="N10" s="24">
        <f t="shared" ref="N10:Y10" si="5">N$2/B$2*B10</f>
        <v>246573.083640006</v>
      </c>
      <c r="O10" s="24">
        <f t="shared" si="5"/>
        <v>232633.869699118</v>
      </c>
      <c r="P10" s="24">
        <f t="shared" si="5"/>
        <v>278994.492811706</v>
      </c>
      <c r="Q10" s="24">
        <f t="shared" si="5"/>
        <v>286951.195461619</v>
      </c>
      <c r="R10" s="24">
        <f t="shared" si="5"/>
        <v>332563.284879262</v>
      </c>
      <c r="S10" s="24">
        <f t="shared" si="5"/>
        <v>431239.040475858</v>
      </c>
      <c r="T10" s="24">
        <f t="shared" si="5"/>
        <v>525814.384771719</v>
      </c>
      <c r="U10" s="24">
        <f t="shared" si="5"/>
        <v>453146.316764995</v>
      </c>
      <c r="V10" s="24">
        <f t="shared" si="5"/>
        <v>770261.516505366</v>
      </c>
      <c r="W10" s="24">
        <f t="shared" si="5"/>
        <v>821012.092764086</v>
      </c>
      <c r="X10" s="24">
        <f t="shared" si="5"/>
        <v>794658.510195019</v>
      </c>
      <c r="Y10" s="24">
        <f t="shared" si="5"/>
        <v>753228.573327864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7"/>
    </row>
    <row r="11" customHeight="1" spans="1:39">
      <c r="A11" s="15" t="s">
        <v>206</v>
      </c>
      <c r="B11" s="16">
        <v>1240202</v>
      </c>
      <c r="C11" s="16">
        <v>1317533</v>
      </c>
      <c r="D11" s="16">
        <v>1671752</v>
      </c>
      <c r="E11" s="16">
        <v>1663036</v>
      </c>
      <c r="F11" s="16">
        <v>1762511</v>
      </c>
      <c r="G11" s="16">
        <v>1724018</v>
      </c>
      <c r="H11" s="16">
        <v>1629370</v>
      </c>
      <c r="I11" s="16">
        <v>1295222</v>
      </c>
      <c r="J11" s="16">
        <v>2464437</v>
      </c>
      <c r="K11" s="16">
        <v>2888349</v>
      </c>
      <c r="L11" s="16">
        <v>2947761</v>
      </c>
      <c r="M11" s="16">
        <v>2476403</v>
      </c>
      <c r="N11" s="24">
        <f t="shared" ref="N11:Y11" si="6">N$2/B$2*B11</f>
        <v>2547700.00396987</v>
      </c>
      <c r="O11" s="24">
        <f t="shared" si="6"/>
        <v>2455794.50232588</v>
      </c>
      <c r="P11" s="24">
        <f t="shared" si="6"/>
        <v>3053098.21129672</v>
      </c>
      <c r="Q11" s="24">
        <f t="shared" si="6"/>
        <v>3217349.64197102</v>
      </c>
      <c r="R11" s="24">
        <f t="shared" si="6"/>
        <v>3646640.75126812</v>
      </c>
      <c r="S11" s="24">
        <f t="shared" si="6"/>
        <v>3218388.64129827</v>
      </c>
      <c r="T11" s="24">
        <f t="shared" si="6"/>
        <v>2678026.4384684</v>
      </c>
      <c r="U11" s="24">
        <f t="shared" si="6"/>
        <v>2347859.96924987</v>
      </c>
      <c r="V11" s="24">
        <f t="shared" si="6"/>
        <v>3957901.43501518</v>
      </c>
      <c r="W11" s="24">
        <f t="shared" si="6"/>
        <v>4104760.60238156</v>
      </c>
      <c r="X11" s="24">
        <f t="shared" si="6"/>
        <v>4042458.75880507</v>
      </c>
      <c r="Y11" s="24">
        <f t="shared" si="6"/>
        <v>3805898.50517304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7"/>
    </row>
    <row r="12" customHeight="1" spans="1:3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customHeight="1" spans="1:39">
      <c r="A13" s="8" t="s">
        <v>207</v>
      </c>
      <c r="B13" s="17">
        <v>26</v>
      </c>
      <c r="C13" s="17">
        <v>24</v>
      </c>
      <c r="D13" s="17">
        <v>26</v>
      </c>
      <c r="E13" s="17">
        <v>24</v>
      </c>
      <c r="F13" s="17">
        <v>24</v>
      </c>
      <c r="G13" s="17">
        <v>24</v>
      </c>
      <c r="H13" s="17">
        <v>26</v>
      </c>
      <c r="I13" s="17">
        <v>25</v>
      </c>
      <c r="J13" s="17">
        <v>26</v>
      </c>
      <c r="K13" s="17">
        <v>27</v>
      </c>
      <c r="L13" s="17">
        <v>23</v>
      </c>
      <c r="M13" s="17">
        <v>25</v>
      </c>
      <c r="N13" s="25">
        <v>26</v>
      </c>
      <c r="O13" s="25">
        <v>24</v>
      </c>
      <c r="P13" s="25">
        <v>26</v>
      </c>
      <c r="Q13" s="25">
        <v>24</v>
      </c>
      <c r="R13" s="25">
        <v>22</v>
      </c>
      <c r="S13" s="25">
        <v>26</v>
      </c>
      <c r="T13" s="25">
        <v>26</v>
      </c>
      <c r="U13" s="25">
        <v>25</v>
      </c>
      <c r="V13" s="25">
        <v>26</v>
      </c>
      <c r="W13" s="25">
        <v>27</v>
      </c>
      <c r="X13" s="25">
        <v>24</v>
      </c>
      <c r="Y13" s="25">
        <v>25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7"/>
    </row>
    <row r="14" customHeight="1" spans="1:39">
      <c r="A14" s="10" t="s">
        <v>203</v>
      </c>
      <c r="B14" s="11">
        <f t="shared" ref="B14:Y14" si="7">B7/B$13</f>
        <v>43083.5769230769</v>
      </c>
      <c r="C14" s="11">
        <f t="shared" si="7"/>
        <v>49696.875</v>
      </c>
      <c r="D14" s="11">
        <f t="shared" si="7"/>
        <v>58422.5384615385</v>
      </c>
      <c r="E14" s="11">
        <f t="shared" si="7"/>
        <v>63112.9583333333</v>
      </c>
      <c r="F14" s="11">
        <f t="shared" si="7"/>
        <v>66740.625</v>
      </c>
      <c r="G14" s="11">
        <f t="shared" si="7"/>
        <v>62208.9166666667</v>
      </c>
      <c r="H14" s="11">
        <f t="shared" si="7"/>
        <v>50363.5769230769</v>
      </c>
      <c r="I14" s="11">
        <f t="shared" si="7"/>
        <v>41809.56</v>
      </c>
      <c r="J14" s="11">
        <f t="shared" si="7"/>
        <v>76339.3846153846</v>
      </c>
      <c r="K14" s="11">
        <f t="shared" si="7"/>
        <v>85579.1851851852</v>
      </c>
      <c r="L14" s="11">
        <f t="shared" si="7"/>
        <v>102969.434782609</v>
      </c>
      <c r="M14" s="11">
        <f t="shared" si="7"/>
        <v>79451.8</v>
      </c>
      <c r="N14" s="24">
        <f t="shared" si="7"/>
        <v>88504.9605612305</v>
      </c>
      <c r="O14" s="24">
        <f t="shared" si="7"/>
        <v>92631.693026115</v>
      </c>
      <c r="P14" s="24">
        <f t="shared" si="7"/>
        <v>106696.296864808</v>
      </c>
      <c r="Q14" s="24">
        <f t="shared" si="7"/>
        <v>122099.854661885</v>
      </c>
      <c r="R14" s="24">
        <f t="shared" si="7"/>
        <v>150639.884835857</v>
      </c>
      <c r="S14" s="24">
        <f t="shared" si="7"/>
        <v>107198.133369911</v>
      </c>
      <c r="T14" s="24">
        <f t="shared" si="7"/>
        <v>82777.3866806416</v>
      </c>
      <c r="U14" s="24">
        <f t="shared" si="7"/>
        <v>75788.546099395</v>
      </c>
      <c r="V14" s="24">
        <f t="shared" si="7"/>
        <v>122601.5353273</v>
      </c>
      <c r="W14" s="24">
        <f t="shared" si="7"/>
        <v>121620.36780599</v>
      </c>
      <c r="X14" s="24">
        <f t="shared" si="7"/>
        <v>135325.067498996</v>
      </c>
      <c r="Y14" s="24">
        <f t="shared" si="7"/>
        <v>122106.735799184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7"/>
    </row>
    <row r="15" customHeight="1" spans="1:39">
      <c r="A15" s="12" t="s">
        <v>204</v>
      </c>
      <c r="B15" s="11">
        <f t="shared" ref="B15:Y15" si="8">B8/B$13</f>
        <v>15761.3461538462</v>
      </c>
      <c r="C15" s="11">
        <f t="shared" si="8"/>
        <v>18225.9583333333</v>
      </c>
      <c r="D15" s="11">
        <f t="shared" si="8"/>
        <v>20878.0769230769</v>
      </c>
      <c r="E15" s="11">
        <f t="shared" si="8"/>
        <v>22351.7083333333</v>
      </c>
      <c r="F15" s="11">
        <f t="shared" si="8"/>
        <v>23789.6666666667</v>
      </c>
      <c r="G15" s="11">
        <f t="shared" si="8"/>
        <v>25475.375</v>
      </c>
      <c r="H15" s="11">
        <f t="shared" si="8"/>
        <v>24452.1923076923</v>
      </c>
      <c r="I15" s="11">
        <f t="shared" si="8"/>
        <v>19840.68</v>
      </c>
      <c r="J15" s="11">
        <f t="shared" si="8"/>
        <v>36912.7307692308</v>
      </c>
      <c r="K15" s="11">
        <f t="shared" si="8"/>
        <v>42154.5185185185</v>
      </c>
      <c r="L15" s="11">
        <f t="shared" si="8"/>
        <v>50183</v>
      </c>
      <c r="M15" s="11">
        <f t="shared" si="8"/>
        <v>38917</v>
      </c>
      <c r="N15" s="24">
        <f t="shared" si="8"/>
        <v>32377.9365447921</v>
      </c>
      <c r="O15" s="24">
        <f t="shared" si="8"/>
        <v>33971.9826938836</v>
      </c>
      <c r="P15" s="24">
        <f t="shared" si="8"/>
        <v>38129.3513087835</v>
      </c>
      <c r="Q15" s="24">
        <f t="shared" si="8"/>
        <v>43242.155193087</v>
      </c>
      <c r="R15" s="24">
        <f t="shared" si="8"/>
        <v>53695.521235381</v>
      </c>
      <c r="S15" s="24">
        <f t="shared" si="8"/>
        <v>43899.0548819796</v>
      </c>
      <c r="T15" s="24">
        <f t="shared" si="8"/>
        <v>40189.5318304091</v>
      </c>
      <c r="U15" s="24">
        <f t="shared" si="8"/>
        <v>35965.3699016049</v>
      </c>
      <c r="V15" s="24">
        <f t="shared" si="8"/>
        <v>59282.0794696182</v>
      </c>
      <c r="W15" s="24">
        <f t="shared" si="8"/>
        <v>59907.6520279158</v>
      </c>
      <c r="X15" s="24">
        <f t="shared" si="8"/>
        <v>65951.7834262123</v>
      </c>
      <c r="Y15" s="24">
        <f t="shared" si="8"/>
        <v>59810.1973409898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7"/>
    </row>
    <row r="16" customHeight="1" spans="1:39">
      <c r="A16" s="10" t="s">
        <v>205</v>
      </c>
      <c r="B16" s="11">
        <f t="shared" ref="B16:Y16" si="9">B9/B$13</f>
        <v>-11144.8076923077</v>
      </c>
      <c r="C16" s="11">
        <f t="shared" si="9"/>
        <v>-13025.625</v>
      </c>
      <c r="D16" s="11">
        <f t="shared" si="9"/>
        <v>-15002.4615384615</v>
      </c>
      <c r="E16" s="11">
        <f t="shared" si="9"/>
        <v>-16171.5416666667</v>
      </c>
      <c r="F16" s="11">
        <f t="shared" si="9"/>
        <v>-17092.3333333333</v>
      </c>
      <c r="G16" s="11">
        <f t="shared" si="9"/>
        <v>-15850.1666666667</v>
      </c>
      <c r="H16" s="11">
        <f t="shared" si="9"/>
        <v>-12147.6923076923</v>
      </c>
      <c r="I16" s="11">
        <f t="shared" si="9"/>
        <v>-9841.36</v>
      </c>
      <c r="J16" s="11">
        <f t="shared" si="9"/>
        <v>-18466.0769230769</v>
      </c>
      <c r="K16" s="11">
        <f t="shared" si="9"/>
        <v>-20757.7777777778</v>
      </c>
      <c r="L16" s="11">
        <f t="shared" si="9"/>
        <v>-24988.8695652174</v>
      </c>
      <c r="M16" s="11">
        <f t="shared" si="9"/>
        <v>-19312.72</v>
      </c>
      <c r="N16" s="24">
        <f t="shared" si="9"/>
        <v>-22894.3564047919</v>
      </c>
      <c r="O16" s="24">
        <f t="shared" si="9"/>
        <v>-24278.9047897537</v>
      </c>
      <c r="P16" s="24">
        <f t="shared" si="9"/>
        <v>-27398.7938929487</v>
      </c>
      <c r="Q16" s="24">
        <f t="shared" si="9"/>
        <v>-31285.8553821862</v>
      </c>
      <c r="R16" s="24">
        <f t="shared" si="9"/>
        <v>-38579.0082863236</v>
      </c>
      <c r="S16" s="24">
        <f t="shared" si="9"/>
        <v>-27312.9379406004</v>
      </c>
      <c r="T16" s="24">
        <f t="shared" si="9"/>
        <v>-19965.9016468814</v>
      </c>
      <c r="U16" s="24">
        <f t="shared" si="9"/>
        <v>-17839.5172310051</v>
      </c>
      <c r="V16" s="24">
        <f t="shared" si="9"/>
        <v>-29656.6365271041</v>
      </c>
      <c r="W16" s="24">
        <f t="shared" si="9"/>
        <v>-29499.7967403571</v>
      </c>
      <c r="X16" s="24">
        <f t="shared" si="9"/>
        <v>-32841.0121680865</v>
      </c>
      <c r="Y16" s="24">
        <f t="shared" si="9"/>
        <v>-29681.0544078752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7"/>
    </row>
    <row r="17" customHeight="1" spans="1:39">
      <c r="A17" s="12"/>
      <c r="B17" s="14">
        <f t="shared" ref="B17:Y17" si="10">B15+B16</f>
        <v>4616.53846153846</v>
      </c>
      <c r="C17" s="14">
        <f t="shared" si="10"/>
        <v>5200.33333333333</v>
      </c>
      <c r="D17" s="14">
        <f t="shared" si="10"/>
        <v>5875.61538461538</v>
      </c>
      <c r="E17" s="14">
        <f t="shared" si="10"/>
        <v>6180.16666666667</v>
      </c>
      <c r="F17" s="14">
        <f t="shared" si="10"/>
        <v>6697.33333333334</v>
      </c>
      <c r="G17" s="14">
        <f t="shared" si="10"/>
        <v>9625.20833333333</v>
      </c>
      <c r="H17" s="14">
        <f t="shared" si="10"/>
        <v>12304.5</v>
      </c>
      <c r="I17" s="14">
        <f t="shared" si="10"/>
        <v>9999.32</v>
      </c>
      <c r="J17" s="14">
        <f t="shared" si="10"/>
        <v>18446.6538461538</v>
      </c>
      <c r="K17" s="14">
        <f t="shared" si="10"/>
        <v>21396.7407407407</v>
      </c>
      <c r="L17" s="14">
        <f t="shared" si="10"/>
        <v>25194.1304347826</v>
      </c>
      <c r="M17" s="14">
        <f t="shared" si="10"/>
        <v>19604.28</v>
      </c>
      <c r="N17" s="26">
        <f t="shared" si="10"/>
        <v>9483.58014000025</v>
      </c>
      <c r="O17" s="26">
        <f t="shared" si="10"/>
        <v>9693.07790412992</v>
      </c>
      <c r="P17" s="26">
        <f t="shared" si="10"/>
        <v>10730.5574158348</v>
      </c>
      <c r="Q17" s="26">
        <f t="shared" si="10"/>
        <v>11956.2998109008</v>
      </c>
      <c r="R17" s="26">
        <f t="shared" si="10"/>
        <v>15116.5129490574</v>
      </c>
      <c r="S17" s="26">
        <f t="shared" si="10"/>
        <v>16586.1169413792</v>
      </c>
      <c r="T17" s="26">
        <f t="shared" si="10"/>
        <v>20223.6301835276</v>
      </c>
      <c r="U17" s="26">
        <f t="shared" si="10"/>
        <v>18125.8526705998</v>
      </c>
      <c r="V17" s="26">
        <f t="shared" si="10"/>
        <v>29625.4429425141</v>
      </c>
      <c r="W17" s="26">
        <f t="shared" si="10"/>
        <v>30407.8552875587</v>
      </c>
      <c r="X17" s="26">
        <f t="shared" si="10"/>
        <v>33110.7712581258</v>
      </c>
      <c r="Y17" s="26">
        <f t="shared" si="10"/>
        <v>30129.1429331146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7"/>
    </row>
    <row r="18" customHeight="1" spans="1:39">
      <c r="A18" s="15" t="s">
        <v>206</v>
      </c>
      <c r="B18" s="16">
        <f t="shared" ref="B18:Y18" si="11">SUM(B14:B16)</f>
        <v>47700.1153846154</v>
      </c>
      <c r="C18" s="16">
        <f t="shared" si="11"/>
        <v>54897.2083333333</v>
      </c>
      <c r="D18" s="16">
        <f t="shared" si="11"/>
        <v>64298.1538461538</v>
      </c>
      <c r="E18" s="16">
        <f t="shared" si="11"/>
        <v>69293.125</v>
      </c>
      <c r="F18" s="16">
        <f t="shared" si="11"/>
        <v>73437.9583333333</v>
      </c>
      <c r="G18" s="16">
        <f t="shared" si="11"/>
        <v>71834.125</v>
      </c>
      <c r="H18" s="16">
        <f t="shared" si="11"/>
        <v>62668.0769230769</v>
      </c>
      <c r="I18" s="16">
        <f t="shared" si="11"/>
        <v>51808.88</v>
      </c>
      <c r="J18" s="16">
        <f t="shared" si="11"/>
        <v>94786.0384615385</v>
      </c>
      <c r="K18" s="16">
        <f t="shared" si="11"/>
        <v>106975.925925926</v>
      </c>
      <c r="L18" s="16">
        <f t="shared" si="11"/>
        <v>128163.565217391</v>
      </c>
      <c r="M18" s="16">
        <f t="shared" si="11"/>
        <v>99056.08</v>
      </c>
      <c r="N18" s="27">
        <f t="shared" si="11"/>
        <v>97988.5407012308</v>
      </c>
      <c r="O18" s="27">
        <f t="shared" si="11"/>
        <v>102324.770930245</v>
      </c>
      <c r="P18" s="27">
        <f t="shared" si="11"/>
        <v>117426.854280643</v>
      </c>
      <c r="Q18" s="27">
        <f t="shared" si="11"/>
        <v>134056.154472785</v>
      </c>
      <c r="R18" s="27">
        <f t="shared" si="11"/>
        <v>165756.397784915</v>
      </c>
      <c r="S18" s="27">
        <f t="shared" si="11"/>
        <v>123784.25031129</v>
      </c>
      <c r="T18" s="27">
        <f t="shared" si="11"/>
        <v>103001.016864169</v>
      </c>
      <c r="U18" s="27">
        <f t="shared" si="11"/>
        <v>93914.3987699948</v>
      </c>
      <c r="V18" s="27">
        <f t="shared" si="11"/>
        <v>152226.978269815</v>
      </c>
      <c r="W18" s="27">
        <f t="shared" si="11"/>
        <v>152028.223093549</v>
      </c>
      <c r="X18" s="27">
        <f t="shared" si="11"/>
        <v>168435.838757122</v>
      </c>
      <c r="Y18" s="27">
        <f t="shared" si="11"/>
        <v>152235.878732299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7"/>
    </row>
    <row r="19" customHeight="1" spans="1:3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2" customHeight="1" spans="1:1">
      <c r="A22" s="5" t="s">
        <v>208</v>
      </c>
    </row>
    <row r="24" customHeight="1" spans="1:39">
      <c r="A24" s="6" t="s">
        <v>201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customHeight="1" spans="1:39">
      <c r="A25" s="8" t="s">
        <v>202</v>
      </c>
      <c r="B25" s="9">
        <v>45658</v>
      </c>
      <c r="C25" s="9">
        <v>45689</v>
      </c>
      <c r="D25" s="9">
        <v>45717</v>
      </c>
      <c r="E25" s="9">
        <v>45748</v>
      </c>
      <c r="F25" s="9">
        <v>45778</v>
      </c>
      <c r="G25" s="9">
        <v>45809</v>
      </c>
      <c r="H25" s="9">
        <v>45839</v>
      </c>
      <c r="I25" s="9">
        <v>45870</v>
      </c>
      <c r="J25" s="9">
        <v>45901</v>
      </c>
      <c r="K25" s="9">
        <v>45931</v>
      </c>
      <c r="L25" s="9">
        <v>45962</v>
      </c>
      <c r="M25" s="9">
        <v>45992</v>
      </c>
      <c r="N25" s="9">
        <f t="shared" ref="N25:Y25" si="12">N6</f>
        <v>46023</v>
      </c>
      <c r="O25" s="9">
        <f t="shared" si="12"/>
        <v>46054</v>
      </c>
      <c r="P25" s="9">
        <f t="shared" si="12"/>
        <v>46082</v>
      </c>
      <c r="Q25" s="9">
        <f t="shared" si="12"/>
        <v>46113</v>
      </c>
      <c r="R25" s="9">
        <f t="shared" si="12"/>
        <v>46143</v>
      </c>
      <c r="S25" s="9">
        <f t="shared" si="12"/>
        <v>46174</v>
      </c>
      <c r="T25" s="9">
        <f t="shared" si="12"/>
        <v>46204</v>
      </c>
      <c r="U25" s="9">
        <f t="shared" si="12"/>
        <v>46235</v>
      </c>
      <c r="V25" s="9">
        <f t="shared" si="12"/>
        <v>46266</v>
      </c>
      <c r="W25" s="9">
        <f t="shared" si="12"/>
        <v>46296</v>
      </c>
      <c r="X25" s="9">
        <f t="shared" si="12"/>
        <v>46327</v>
      </c>
      <c r="Y25" s="9">
        <f t="shared" si="12"/>
        <v>46357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7"/>
    </row>
    <row r="26" customHeight="1" spans="1:39">
      <c r="A26" s="10" t="s">
        <v>203</v>
      </c>
      <c r="B26" s="11">
        <v>494229</v>
      </c>
      <c r="C26" s="11">
        <v>526039</v>
      </c>
      <c r="D26" s="11">
        <v>668560</v>
      </c>
      <c r="E26" s="11">
        <v>664511</v>
      </c>
      <c r="F26" s="11">
        <v>701108</v>
      </c>
      <c r="G26" s="11">
        <v>651671</v>
      </c>
      <c r="H26" s="11">
        <v>570147</v>
      </c>
      <c r="I26" s="11">
        <v>454984</v>
      </c>
      <c r="J26" s="11">
        <v>863398</v>
      </c>
      <c r="K26" s="11">
        <v>1003957</v>
      </c>
      <c r="L26" s="11">
        <v>1032589</v>
      </c>
      <c r="M26" s="11">
        <v>870053</v>
      </c>
      <c r="N26" s="24">
        <f t="shared" ref="N26:Y26" si="13">N$2/B$2*B26</f>
        <v>1015275.9189729</v>
      </c>
      <c r="O26" s="24">
        <f t="shared" si="13"/>
        <v>980501.956466368</v>
      </c>
      <c r="P26" s="24">
        <f t="shared" si="13"/>
        <v>1220982.14337087</v>
      </c>
      <c r="Q26" s="24">
        <f t="shared" si="13"/>
        <v>1285579.0421469</v>
      </c>
      <c r="R26" s="24">
        <f t="shared" si="13"/>
        <v>1450594.63676544</v>
      </c>
      <c r="S26" s="24">
        <f t="shared" si="13"/>
        <v>1216536.33794049</v>
      </c>
      <c r="T26" s="24">
        <f t="shared" si="13"/>
        <v>937091.476959464</v>
      </c>
      <c r="U26" s="24">
        <f t="shared" si="13"/>
        <v>824753.378377748</v>
      </c>
      <c r="V26" s="24">
        <f t="shared" si="13"/>
        <v>1386622.65790898</v>
      </c>
      <c r="W26" s="24">
        <f t="shared" si="13"/>
        <v>1426767.72789063</v>
      </c>
      <c r="X26" s="24">
        <f t="shared" si="13"/>
        <v>1416057.28798765</v>
      </c>
      <c r="Y26" s="24">
        <f t="shared" si="13"/>
        <v>1337154.49873115</v>
      </c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7"/>
    </row>
    <row r="27" customHeight="1" spans="1:39">
      <c r="A27" s="12" t="s">
        <v>204</v>
      </c>
      <c r="B27" s="13">
        <v>342723</v>
      </c>
      <c r="C27" s="13">
        <v>367661</v>
      </c>
      <c r="D27" s="13">
        <v>457302</v>
      </c>
      <c r="E27" s="13">
        <v>453187</v>
      </c>
      <c r="F27" s="13">
        <v>480572</v>
      </c>
      <c r="G27" s="13">
        <v>481233</v>
      </c>
      <c r="H27" s="13">
        <v>455135</v>
      </c>
      <c r="I27" s="13">
        <v>354850</v>
      </c>
      <c r="J27" s="13">
        <v>688749</v>
      </c>
      <c r="K27" s="13">
        <v>811472</v>
      </c>
      <c r="L27" s="13">
        <v>827393</v>
      </c>
      <c r="M27" s="13">
        <v>697499</v>
      </c>
      <c r="N27" s="24">
        <f t="shared" ref="N27:Y27" si="14">N$2/B$2*B27</f>
        <v>704042.880482829</v>
      </c>
      <c r="O27" s="24">
        <f t="shared" si="14"/>
        <v>685295.823724821</v>
      </c>
      <c r="P27" s="24">
        <f t="shared" si="14"/>
        <v>835164.497020139</v>
      </c>
      <c r="Q27" s="24">
        <f t="shared" si="14"/>
        <v>876746.523945315</v>
      </c>
      <c r="R27" s="24">
        <f t="shared" si="14"/>
        <v>994304.965539747</v>
      </c>
      <c r="S27" s="24">
        <f t="shared" si="14"/>
        <v>898363.486354489</v>
      </c>
      <c r="T27" s="24">
        <f t="shared" si="14"/>
        <v>748058.183882307</v>
      </c>
      <c r="U27" s="24">
        <f t="shared" si="14"/>
        <v>643239.622310551</v>
      </c>
      <c r="V27" s="24">
        <f t="shared" si="14"/>
        <v>1106135.25745039</v>
      </c>
      <c r="W27" s="24">
        <f t="shared" si="14"/>
        <v>1153218.77499422</v>
      </c>
      <c r="X27" s="24">
        <f t="shared" si="14"/>
        <v>1134658.50176592</v>
      </c>
      <c r="Y27" s="24">
        <f t="shared" si="14"/>
        <v>1071962.19737244</v>
      </c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7"/>
    </row>
    <row r="28" customHeight="1" spans="1:39">
      <c r="A28" s="10" t="s">
        <v>205</v>
      </c>
      <c r="B28" s="11">
        <v>-289765</v>
      </c>
      <c r="C28" s="11">
        <v>-312615</v>
      </c>
      <c r="D28" s="11">
        <v>-390064</v>
      </c>
      <c r="E28" s="11">
        <v>-388117</v>
      </c>
      <c r="F28" s="11">
        <v>-410216</v>
      </c>
      <c r="G28" s="11">
        <v>-380404</v>
      </c>
      <c r="H28" s="11">
        <v>-315840</v>
      </c>
      <c r="I28" s="11">
        <v>-246034</v>
      </c>
      <c r="J28" s="11">
        <v>-480118</v>
      </c>
      <c r="K28" s="11">
        <v>-560460</v>
      </c>
      <c r="L28" s="11">
        <v>-574744</v>
      </c>
      <c r="M28" s="11">
        <v>-482818</v>
      </c>
      <c r="N28" s="24">
        <f t="shared" ref="N28:Y28" si="15">N$2/B$2*B28</f>
        <v>-595253.266524589</v>
      </c>
      <c r="O28" s="24">
        <f t="shared" si="15"/>
        <v>-582693.714954088</v>
      </c>
      <c r="P28" s="24">
        <f t="shared" si="15"/>
        <v>-712368.641216666</v>
      </c>
      <c r="Q28" s="24">
        <f t="shared" si="15"/>
        <v>-750860.52917247</v>
      </c>
      <c r="R28" s="24">
        <f t="shared" si="15"/>
        <v>-848738.18229912</v>
      </c>
      <c r="S28" s="24">
        <f t="shared" si="15"/>
        <v>-710136.386455611</v>
      </c>
      <c r="T28" s="24">
        <f t="shared" si="15"/>
        <v>-519113.442818917</v>
      </c>
      <c r="U28" s="24">
        <f t="shared" si="15"/>
        <v>-445987.930775128</v>
      </c>
      <c r="V28" s="24">
        <f t="shared" si="15"/>
        <v>-771072.549704706</v>
      </c>
      <c r="W28" s="24">
        <f t="shared" si="15"/>
        <v>-796494.511989641</v>
      </c>
      <c r="X28" s="24">
        <f t="shared" si="15"/>
        <v>-788184.292034076</v>
      </c>
      <c r="Y28" s="24">
        <f t="shared" si="15"/>
        <v>-742026.360196881</v>
      </c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7"/>
    </row>
    <row r="29" customHeight="1" spans="1:39">
      <c r="A29" s="12"/>
      <c r="B29" s="14">
        <f t="shared" ref="B29:M29" si="16">B27+B28</f>
        <v>52958</v>
      </c>
      <c r="C29" s="14">
        <f t="shared" si="16"/>
        <v>55046</v>
      </c>
      <c r="D29" s="14">
        <f t="shared" si="16"/>
        <v>67238</v>
      </c>
      <c r="E29" s="14">
        <f t="shared" si="16"/>
        <v>65070</v>
      </c>
      <c r="F29" s="14">
        <f t="shared" si="16"/>
        <v>70356</v>
      </c>
      <c r="G29" s="14">
        <f t="shared" si="16"/>
        <v>100829</v>
      </c>
      <c r="H29" s="14">
        <f t="shared" si="16"/>
        <v>139295</v>
      </c>
      <c r="I29" s="14">
        <f t="shared" si="16"/>
        <v>108816</v>
      </c>
      <c r="J29" s="14">
        <f t="shared" si="16"/>
        <v>208631</v>
      </c>
      <c r="K29" s="14">
        <f t="shared" si="16"/>
        <v>251012</v>
      </c>
      <c r="L29" s="14">
        <f t="shared" si="16"/>
        <v>252649</v>
      </c>
      <c r="M29" s="14">
        <f t="shared" si="16"/>
        <v>214681</v>
      </c>
      <c r="N29" s="24">
        <f t="shared" ref="N29:Y29" si="17">N$2/B$2*B29</f>
        <v>108789.613958239</v>
      </c>
      <c r="O29" s="24">
        <f t="shared" si="17"/>
        <v>102602.108770733</v>
      </c>
      <c r="P29" s="24">
        <f t="shared" si="17"/>
        <v>122795.855803474</v>
      </c>
      <c r="Q29" s="24">
        <f t="shared" si="17"/>
        <v>125885.994772846</v>
      </c>
      <c r="R29" s="24">
        <f t="shared" si="17"/>
        <v>145566.783240627</v>
      </c>
      <c r="S29" s="24">
        <f t="shared" si="17"/>
        <v>188227.099898878</v>
      </c>
      <c r="T29" s="24">
        <f t="shared" si="17"/>
        <v>228944.74106339</v>
      </c>
      <c r="U29" s="24">
        <f t="shared" si="17"/>
        <v>197251.691535423</v>
      </c>
      <c r="V29" s="24">
        <f t="shared" si="17"/>
        <v>335062.707745684</v>
      </c>
      <c r="W29" s="24">
        <f t="shared" si="17"/>
        <v>356724.263004574</v>
      </c>
      <c r="X29" s="24">
        <f t="shared" si="17"/>
        <v>346474.209731841</v>
      </c>
      <c r="Y29" s="24">
        <f t="shared" si="17"/>
        <v>329935.837175554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7"/>
    </row>
    <row r="30" customHeight="1" spans="1:39">
      <c r="A30" s="15" t="s">
        <v>206</v>
      </c>
      <c r="B30" s="16">
        <v>547188</v>
      </c>
      <c r="C30" s="16">
        <v>581084</v>
      </c>
      <c r="D30" s="16">
        <v>735798</v>
      </c>
      <c r="E30" s="16">
        <v>729582</v>
      </c>
      <c r="F30" s="16">
        <v>771463</v>
      </c>
      <c r="G30" s="16">
        <v>752500</v>
      </c>
      <c r="H30" s="16">
        <v>709442</v>
      </c>
      <c r="I30" s="16">
        <v>563800</v>
      </c>
      <c r="J30" s="16">
        <v>1072029</v>
      </c>
      <c r="K30" s="16">
        <v>1254968</v>
      </c>
      <c r="L30" s="16">
        <v>1285239</v>
      </c>
      <c r="M30" s="16">
        <v>1084733</v>
      </c>
      <c r="N30" s="24">
        <f t="shared" ref="N30:Y30" si="18">N$2/B$2*B30</f>
        <v>1124067.58719327</v>
      </c>
      <c r="O30" s="24">
        <f t="shared" si="18"/>
        <v>1083102.20130314</v>
      </c>
      <c r="P30" s="24">
        <f t="shared" si="18"/>
        <v>1343777.99917434</v>
      </c>
      <c r="Q30" s="24">
        <f t="shared" si="18"/>
        <v>1411466.97154391</v>
      </c>
      <c r="R30" s="24">
        <f t="shared" si="18"/>
        <v>1596159.35100295</v>
      </c>
      <c r="S30" s="24">
        <f t="shared" si="18"/>
        <v>1404763.43783937</v>
      </c>
      <c r="T30" s="24">
        <f t="shared" si="18"/>
        <v>1166036.21802285</v>
      </c>
      <c r="U30" s="24">
        <f t="shared" si="18"/>
        <v>1022005.06991317</v>
      </c>
      <c r="V30" s="24">
        <f t="shared" si="18"/>
        <v>1721685.36565467</v>
      </c>
      <c r="W30" s="24">
        <f t="shared" si="18"/>
        <v>1783490.56975095</v>
      </c>
      <c r="X30" s="24">
        <f t="shared" si="18"/>
        <v>1762532.86908534</v>
      </c>
      <c r="Y30" s="24">
        <f t="shared" si="18"/>
        <v>1667088.79904114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7"/>
    </row>
    <row r="31" customHeight="1" spans="1:3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customHeight="1" spans="1:39">
      <c r="A32" s="8" t="s">
        <v>207</v>
      </c>
      <c r="B32" s="17">
        <v>26</v>
      </c>
      <c r="C32" s="17">
        <v>24</v>
      </c>
      <c r="D32" s="17">
        <v>26</v>
      </c>
      <c r="E32" s="17">
        <v>24</v>
      </c>
      <c r="F32" s="17">
        <v>24</v>
      </c>
      <c r="G32" s="17">
        <v>24</v>
      </c>
      <c r="H32" s="17">
        <v>26</v>
      </c>
      <c r="I32" s="17">
        <v>25</v>
      </c>
      <c r="J32" s="17">
        <v>26</v>
      </c>
      <c r="K32" s="17">
        <v>27</v>
      </c>
      <c r="L32" s="17">
        <v>23</v>
      </c>
      <c r="M32" s="17">
        <v>25</v>
      </c>
      <c r="N32" s="25">
        <f t="shared" ref="N32:Y32" si="19">N13</f>
        <v>26</v>
      </c>
      <c r="O32" s="25">
        <f t="shared" si="19"/>
        <v>24</v>
      </c>
      <c r="P32" s="25">
        <f t="shared" si="19"/>
        <v>26</v>
      </c>
      <c r="Q32" s="25">
        <f t="shared" si="19"/>
        <v>24</v>
      </c>
      <c r="R32" s="25">
        <f t="shared" si="19"/>
        <v>22</v>
      </c>
      <c r="S32" s="25">
        <f t="shared" si="19"/>
        <v>26</v>
      </c>
      <c r="T32" s="25">
        <f t="shared" si="19"/>
        <v>26</v>
      </c>
      <c r="U32" s="25">
        <f t="shared" si="19"/>
        <v>25</v>
      </c>
      <c r="V32" s="25">
        <f t="shared" si="19"/>
        <v>26</v>
      </c>
      <c r="W32" s="25">
        <f t="shared" si="19"/>
        <v>27</v>
      </c>
      <c r="X32" s="25">
        <f t="shared" si="19"/>
        <v>24</v>
      </c>
      <c r="Y32" s="25">
        <f t="shared" si="19"/>
        <v>25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7"/>
    </row>
    <row r="33" customHeight="1" spans="1:39">
      <c r="A33" s="10" t="s">
        <v>203</v>
      </c>
      <c r="B33" s="11">
        <v>19009</v>
      </c>
      <c r="C33" s="11">
        <v>21918</v>
      </c>
      <c r="D33" s="11">
        <v>25714</v>
      </c>
      <c r="E33" s="11">
        <v>27688</v>
      </c>
      <c r="F33" s="11">
        <v>29213</v>
      </c>
      <c r="G33" s="11">
        <v>27153</v>
      </c>
      <c r="H33" s="11">
        <v>21929</v>
      </c>
      <c r="I33" s="11">
        <v>18199</v>
      </c>
      <c r="J33" s="11">
        <v>33208</v>
      </c>
      <c r="K33" s="11">
        <v>37184</v>
      </c>
      <c r="L33" s="11">
        <v>44895</v>
      </c>
      <c r="M33" s="11">
        <v>34802</v>
      </c>
      <c r="N33" s="24">
        <f t="shared" ref="N33:Y33" si="20">N26/N$13</f>
        <v>39049.0738066499</v>
      </c>
      <c r="O33" s="24">
        <f t="shared" si="20"/>
        <v>40854.2481860987</v>
      </c>
      <c r="P33" s="24">
        <f t="shared" si="20"/>
        <v>46960.8516681103</v>
      </c>
      <c r="Q33" s="24">
        <f t="shared" si="20"/>
        <v>53565.7934227873</v>
      </c>
      <c r="R33" s="24">
        <f t="shared" si="20"/>
        <v>65936.1198529745</v>
      </c>
      <c r="S33" s="24">
        <f t="shared" si="20"/>
        <v>46789.8591515573</v>
      </c>
      <c r="T33" s="24">
        <f t="shared" si="20"/>
        <v>36041.9798830563</v>
      </c>
      <c r="U33" s="24">
        <f t="shared" si="20"/>
        <v>32990.1351351099</v>
      </c>
      <c r="V33" s="24">
        <f t="shared" si="20"/>
        <v>53331.6406888069</v>
      </c>
      <c r="W33" s="24">
        <f t="shared" si="20"/>
        <v>52843.2491811346</v>
      </c>
      <c r="X33" s="24">
        <f t="shared" si="20"/>
        <v>59002.3869994855</v>
      </c>
      <c r="Y33" s="24">
        <f t="shared" si="20"/>
        <v>53486.1799492461</v>
      </c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7"/>
    </row>
    <row r="34" customHeight="1" spans="1:39">
      <c r="A34" s="12" t="s">
        <v>204</v>
      </c>
      <c r="B34" s="13">
        <v>13182</v>
      </c>
      <c r="C34" s="13">
        <v>15319</v>
      </c>
      <c r="D34" s="13">
        <v>17589</v>
      </c>
      <c r="E34" s="13">
        <v>18883</v>
      </c>
      <c r="F34" s="13">
        <v>20024</v>
      </c>
      <c r="G34" s="13">
        <v>20051</v>
      </c>
      <c r="H34" s="13">
        <v>17505</v>
      </c>
      <c r="I34" s="13">
        <v>14194</v>
      </c>
      <c r="J34" s="13">
        <v>26490</v>
      </c>
      <c r="K34" s="13">
        <v>30055</v>
      </c>
      <c r="L34" s="13">
        <v>35974</v>
      </c>
      <c r="M34" s="13">
        <v>27900</v>
      </c>
      <c r="N34" s="24">
        <f t="shared" ref="N34:Y34" si="21">N27/N$13</f>
        <v>27078.5723262626</v>
      </c>
      <c r="O34" s="24">
        <f t="shared" si="21"/>
        <v>28553.9926552009</v>
      </c>
      <c r="P34" s="24">
        <f t="shared" si="21"/>
        <v>32121.7114238515</v>
      </c>
      <c r="Q34" s="24">
        <f t="shared" si="21"/>
        <v>36531.1051643881</v>
      </c>
      <c r="R34" s="24">
        <f t="shared" si="21"/>
        <v>45195.6802518067</v>
      </c>
      <c r="S34" s="24">
        <f t="shared" si="21"/>
        <v>34552.4417828649</v>
      </c>
      <c r="T34" s="24">
        <f t="shared" si="21"/>
        <v>28771.468610858</v>
      </c>
      <c r="U34" s="24">
        <f t="shared" si="21"/>
        <v>25729.584892422</v>
      </c>
      <c r="V34" s="24">
        <f t="shared" si="21"/>
        <v>42543.6637480919</v>
      </c>
      <c r="W34" s="24">
        <f t="shared" si="21"/>
        <v>42711.8064812672</v>
      </c>
      <c r="X34" s="24">
        <f t="shared" si="21"/>
        <v>47277.4375735799</v>
      </c>
      <c r="Y34" s="24">
        <f t="shared" si="21"/>
        <v>42878.4878948974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7"/>
    </row>
    <row r="35" customHeight="1" spans="1:39">
      <c r="A35" s="10" t="s">
        <v>205</v>
      </c>
      <c r="B35" s="11">
        <v>-11145</v>
      </c>
      <c r="C35" s="11">
        <v>-13026</v>
      </c>
      <c r="D35" s="11">
        <v>-15002</v>
      </c>
      <c r="E35" s="11">
        <v>-16172</v>
      </c>
      <c r="F35" s="11">
        <v>-17092</v>
      </c>
      <c r="G35" s="11">
        <v>-15850</v>
      </c>
      <c r="H35" s="11">
        <v>-12148</v>
      </c>
      <c r="I35" s="11">
        <v>-9841</v>
      </c>
      <c r="J35" s="11">
        <v>-18466</v>
      </c>
      <c r="K35" s="11">
        <v>-20758</v>
      </c>
      <c r="L35" s="11">
        <v>-24989</v>
      </c>
      <c r="M35" s="11">
        <v>-19313</v>
      </c>
      <c r="N35" s="24">
        <f t="shared" ref="N35:Y35" si="22">N28/N$13</f>
        <v>-22894.3564047919</v>
      </c>
      <c r="O35" s="24">
        <f t="shared" si="22"/>
        <v>-24278.9047897537</v>
      </c>
      <c r="P35" s="24">
        <f t="shared" si="22"/>
        <v>-27398.7938929487</v>
      </c>
      <c r="Q35" s="24">
        <f t="shared" si="22"/>
        <v>-31285.8553821862</v>
      </c>
      <c r="R35" s="24">
        <f t="shared" si="22"/>
        <v>-38579.0082863236</v>
      </c>
      <c r="S35" s="24">
        <f t="shared" si="22"/>
        <v>-27312.9379406004</v>
      </c>
      <c r="T35" s="24">
        <f t="shared" si="22"/>
        <v>-19965.9016468814</v>
      </c>
      <c r="U35" s="24">
        <f t="shared" si="22"/>
        <v>-17839.5172310051</v>
      </c>
      <c r="V35" s="24">
        <f t="shared" si="22"/>
        <v>-29656.6365271041</v>
      </c>
      <c r="W35" s="24">
        <f t="shared" si="22"/>
        <v>-29499.7967403571</v>
      </c>
      <c r="X35" s="24">
        <f t="shared" si="22"/>
        <v>-32841.0121680865</v>
      </c>
      <c r="Y35" s="24">
        <f t="shared" si="22"/>
        <v>-29681.0544078752</v>
      </c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7"/>
    </row>
    <row r="36" customHeight="1" spans="1:39">
      <c r="A36" s="12"/>
      <c r="B36" s="14">
        <f t="shared" ref="B36:Y36" si="23">B34+B35</f>
        <v>2037</v>
      </c>
      <c r="C36" s="14">
        <f t="shared" si="23"/>
        <v>2293</v>
      </c>
      <c r="D36" s="14">
        <f t="shared" si="23"/>
        <v>2587</v>
      </c>
      <c r="E36" s="14">
        <f t="shared" si="23"/>
        <v>2711</v>
      </c>
      <c r="F36" s="14">
        <f t="shared" si="23"/>
        <v>2932</v>
      </c>
      <c r="G36" s="14">
        <f t="shared" si="23"/>
        <v>4201</v>
      </c>
      <c r="H36" s="14">
        <f t="shared" si="23"/>
        <v>5357</v>
      </c>
      <c r="I36" s="14">
        <f t="shared" si="23"/>
        <v>4353</v>
      </c>
      <c r="J36" s="14">
        <f t="shared" si="23"/>
        <v>8024</v>
      </c>
      <c r="K36" s="14">
        <f t="shared" si="23"/>
        <v>9297</v>
      </c>
      <c r="L36" s="14">
        <f t="shared" si="23"/>
        <v>10985</v>
      </c>
      <c r="M36" s="14">
        <f t="shared" si="23"/>
        <v>8587</v>
      </c>
      <c r="N36" s="26">
        <f t="shared" si="23"/>
        <v>4184.21592147074</v>
      </c>
      <c r="O36" s="26">
        <f t="shared" si="23"/>
        <v>4275.08786544721</v>
      </c>
      <c r="P36" s="26">
        <f t="shared" si="23"/>
        <v>4722.91753090283</v>
      </c>
      <c r="Q36" s="26">
        <f t="shared" si="23"/>
        <v>5245.24978220191</v>
      </c>
      <c r="R36" s="26">
        <f t="shared" si="23"/>
        <v>6616.67196548303</v>
      </c>
      <c r="S36" s="26">
        <f t="shared" si="23"/>
        <v>7239.50384226453</v>
      </c>
      <c r="T36" s="26">
        <f t="shared" si="23"/>
        <v>8805.56696397654</v>
      </c>
      <c r="U36" s="26">
        <f t="shared" si="23"/>
        <v>7890.06766141693</v>
      </c>
      <c r="V36" s="26">
        <f t="shared" si="23"/>
        <v>12887.0272209879</v>
      </c>
      <c r="W36" s="26">
        <f t="shared" si="23"/>
        <v>13212.0097409102</v>
      </c>
      <c r="X36" s="26">
        <f t="shared" si="23"/>
        <v>14436.4254054934</v>
      </c>
      <c r="Y36" s="26">
        <f t="shared" si="23"/>
        <v>13197.4334870222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7"/>
    </row>
    <row r="37" customHeight="1" spans="1:39">
      <c r="A37" s="15" t="s">
        <v>206</v>
      </c>
      <c r="B37" s="16">
        <v>21046</v>
      </c>
      <c r="C37" s="16">
        <v>24212</v>
      </c>
      <c r="D37" s="16">
        <v>28300</v>
      </c>
      <c r="E37" s="16">
        <v>30399</v>
      </c>
      <c r="F37" s="16">
        <v>32144</v>
      </c>
      <c r="G37" s="16">
        <v>31354</v>
      </c>
      <c r="H37" s="16">
        <v>27286</v>
      </c>
      <c r="I37" s="16">
        <v>22552</v>
      </c>
      <c r="J37" s="16">
        <v>41232</v>
      </c>
      <c r="K37" s="16">
        <v>46480</v>
      </c>
      <c r="L37" s="16">
        <v>55880</v>
      </c>
      <c r="M37" s="16">
        <v>43389</v>
      </c>
      <c r="N37" s="27">
        <f t="shared" ref="N37:Y37" si="24">SUM(N33:N35)</f>
        <v>43233.2897281206</v>
      </c>
      <c r="O37" s="27">
        <f t="shared" si="24"/>
        <v>45129.3360515459</v>
      </c>
      <c r="P37" s="27">
        <f t="shared" si="24"/>
        <v>51683.7691990131</v>
      </c>
      <c r="Q37" s="27">
        <f t="shared" si="24"/>
        <v>58811.0432049892</v>
      </c>
      <c r="R37" s="27">
        <f t="shared" si="24"/>
        <v>72552.7918184576</v>
      </c>
      <c r="S37" s="27">
        <f t="shared" si="24"/>
        <v>54029.3629938219</v>
      </c>
      <c r="T37" s="27">
        <f t="shared" si="24"/>
        <v>44847.5468470329</v>
      </c>
      <c r="U37" s="27">
        <f t="shared" si="24"/>
        <v>40880.2027965268</v>
      </c>
      <c r="V37" s="27">
        <f t="shared" si="24"/>
        <v>66218.6679097948</v>
      </c>
      <c r="W37" s="27">
        <f t="shared" si="24"/>
        <v>66055.2589220447</v>
      </c>
      <c r="X37" s="27">
        <f t="shared" si="24"/>
        <v>73438.8124049789</v>
      </c>
      <c r="Y37" s="27">
        <f t="shared" si="24"/>
        <v>66683.6134362682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7"/>
    </row>
    <row r="41" customHeight="1" spans="1:39">
      <c r="A41" s="1" t="s">
        <v>209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3" customHeight="1" spans="1:13">
      <c r="A43" s="7" t="s">
        <v>210</v>
      </c>
      <c r="B43" s="18" t="s">
        <v>211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customHeight="1" spans="1:38">
      <c r="A44" s="6" t="s">
        <v>212</v>
      </c>
      <c r="B44" s="9">
        <v>45658</v>
      </c>
      <c r="C44" s="9">
        <v>45689</v>
      </c>
      <c r="D44" s="9">
        <v>45717</v>
      </c>
      <c r="E44" s="9">
        <v>45748</v>
      </c>
      <c r="F44" s="9">
        <v>45778</v>
      </c>
      <c r="G44" s="9">
        <v>45809</v>
      </c>
      <c r="H44" s="9">
        <v>45839</v>
      </c>
      <c r="I44" s="9">
        <v>45870</v>
      </c>
      <c r="J44" s="9">
        <v>45901</v>
      </c>
      <c r="K44" s="9">
        <v>45931</v>
      </c>
      <c r="L44" s="9">
        <v>45962</v>
      </c>
      <c r="M44" s="9">
        <v>45992</v>
      </c>
      <c r="N44" s="9">
        <f t="shared" ref="N44:Y44" si="25">N6</f>
        <v>46023</v>
      </c>
      <c r="O44" s="9">
        <f t="shared" si="25"/>
        <v>46054</v>
      </c>
      <c r="P44" s="9">
        <f t="shared" si="25"/>
        <v>46082</v>
      </c>
      <c r="Q44" s="9">
        <f t="shared" si="25"/>
        <v>46113</v>
      </c>
      <c r="R44" s="9">
        <f t="shared" si="25"/>
        <v>46143</v>
      </c>
      <c r="S44" s="9">
        <f t="shared" si="25"/>
        <v>46174</v>
      </c>
      <c r="T44" s="9">
        <f t="shared" si="25"/>
        <v>46204</v>
      </c>
      <c r="U44" s="9">
        <f t="shared" si="25"/>
        <v>46235</v>
      </c>
      <c r="V44" s="9">
        <f t="shared" si="25"/>
        <v>46266</v>
      </c>
      <c r="W44" s="9">
        <f t="shared" si="25"/>
        <v>46296</v>
      </c>
      <c r="X44" s="9">
        <f t="shared" si="25"/>
        <v>46327</v>
      </c>
      <c r="Y44" s="9">
        <f t="shared" si="25"/>
        <v>46357</v>
      </c>
      <c r="AA44" s="9">
        <f t="shared" ref="AA44:AL44" si="26">B44</f>
        <v>45658</v>
      </c>
      <c r="AB44" s="9">
        <f t="shared" si="26"/>
        <v>45689</v>
      </c>
      <c r="AC44" s="9">
        <f t="shared" si="26"/>
        <v>45717</v>
      </c>
      <c r="AD44" s="9">
        <f t="shared" si="26"/>
        <v>45748</v>
      </c>
      <c r="AE44" s="9">
        <f t="shared" si="26"/>
        <v>45778</v>
      </c>
      <c r="AF44" s="9">
        <f t="shared" si="26"/>
        <v>45809</v>
      </c>
      <c r="AG44" s="9">
        <f t="shared" si="26"/>
        <v>45839</v>
      </c>
      <c r="AH44" s="9">
        <f t="shared" si="26"/>
        <v>45870</v>
      </c>
      <c r="AI44" s="9">
        <f t="shared" si="26"/>
        <v>45901</v>
      </c>
      <c r="AJ44" s="9">
        <f t="shared" si="26"/>
        <v>45931</v>
      </c>
      <c r="AK44" s="9">
        <f t="shared" si="26"/>
        <v>45962</v>
      </c>
      <c r="AL44" s="9">
        <f t="shared" si="26"/>
        <v>45992</v>
      </c>
    </row>
    <row r="45" customHeight="1" spans="1:38">
      <c r="A45" s="7" t="s">
        <v>211</v>
      </c>
      <c r="B45" s="11">
        <v>656753</v>
      </c>
      <c r="C45" s="11">
        <v>708816</v>
      </c>
      <c r="D45" s="11">
        <v>886236</v>
      </c>
      <c r="E45" s="11">
        <v>884687</v>
      </c>
      <c r="F45" s="11">
        <v>937195</v>
      </c>
      <c r="G45" s="11">
        <v>871526</v>
      </c>
      <c r="H45" s="11">
        <v>725388</v>
      </c>
      <c r="I45" s="11">
        <v>565217</v>
      </c>
      <c r="J45" s="11">
        <v>1103720</v>
      </c>
      <c r="K45" s="11">
        <v>1289917</v>
      </c>
      <c r="L45" s="11">
        <v>1318204</v>
      </c>
      <c r="M45" s="11">
        <v>1102254</v>
      </c>
      <c r="N45" s="24">
        <f t="shared" ref="N45:Y45" si="27">N$2/B$2*B45</f>
        <v>1349142.81762747</v>
      </c>
      <c r="O45" s="24">
        <f t="shared" si="27"/>
        <v>1321186.21390175</v>
      </c>
      <c r="P45" s="24">
        <f t="shared" si="27"/>
        <v>1618520.89687152</v>
      </c>
      <c r="Q45" s="24">
        <f t="shared" si="27"/>
        <v>1711536.85350553</v>
      </c>
      <c r="R45" s="24">
        <f t="shared" si="27"/>
        <v>1939059.37545055</v>
      </c>
      <c r="S45" s="24">
        <f t="shared" si="27"/>
        <v>1626960.61119786</v>
      </c>
      <c r="T45" s="24">
        <f t="shared" si="27"/>
        <v>1192245.00398787</v>
      </c>
      <c r="U45" s="24">
        <f t="shared" si="27"/>
        <v>1024573.67790194</v>
      </c>
      <c r="V45" s="24">
        <f t="shared" si="27"/>
        <v>1772581.31242752</v>
      </c>
      <c r="W45" s="24">
        <f t="shared" si="27"/>
        <v>1833158.14049556</v>
      </c>
      <c r="X45" s="24">
        <f t="shared" si="27"/>
        <v>1807739.94421253</v>
      </c>
      <c r="Y45" s="24">
        <f t="shared" si="27"/>
        <v>1694016.22067208</v>
      </c>
      <c r="AA45" s="32">
        <f t="shared" ref="AA45:AL45" si="28">B45/B$50</f>
        <v>0.586296045342996</v>
      </c>
      <c r="AB45" s="32">
        <f t="shared" si="28"/>
        <v>0.594282839715777</v>
      </c>
      <c r="AC45" s="32">
        <f t="shared" si="28"/>
        <v>0.583439215371307</v>
      </c>
      <c r="AD45" s="32">
        <f t="shared" si="28"/>
        <v>0.584063230543648</v>
      </c>
      <c r="AE45" s="32">
        <f t="shared" si="28"/>
        <v>0.58509778214793</v>
      </c>
      <c r="AF45" s="32">
        <f t="shared" si="28"/>
        <v>0.583735986400663</v>
      </c>
      <c r="AG45" s="32">
        <f t="shared" si="28"/>
        <v>0.55396260881452</v>
      </c>
      <c r="AH45" s="32">
        <f t="shared" si="28"/>
        <v>0.540753837160688</v>
      </c>
      <c r="AI45" s="32">
        <f t="shared" si="28"/>
        <v>0.556079531484908</v>
      </c>
      <c r="AJ45" s="32">
        <f t="shared" si="28"/>
        <v>0.558251443973483</v>
      </c>
      <c r="AK45" s="32">
        <f t="shared" si="28"/>
        <v>0.556604175912058</v>
      </c>
      <c r="AL45" s="32">
        <f t="shared" si="28"/>
        <v>0.554929655464067</v>
      </c>
    </row>
    <row r="46" customHeight="1" spans="1:38">
      <c r="A46" s="7" t="s">
        <v>213</v>
      </c>
      <c r="B46" s="13">
        <v>289765</v>
      </c>
      <c r="C46" s="13">
        <v>312615</v>
      </c>
      <c r="D46" s="13">
        <v>390064</v>
      </c>
      <c r="E46" s="13">
        <v>388117</v>
      </c>
      <c r="F46" s="13">
        <v>410216</v>
      </c>
      <c r="G46" s="13">
        <v>380404</v>
      </c>
      <c r="H46" s="13">
        <v>315840</v>
      </c>
      <c r="I46" s="13">
        <v>246034</v>
      </c>
      <c r="J46" s="13">
        <v>480118</v>
      </c>
      <c r="K46" s="13">
        <v>560460</v>
      </c>
      <c r="L46" s="13">
        <v>574744</v>
      </c>
      <c r="M46" s="13">
        <v>482818</v>
      </c>
      <c r="N46" s="24">
        <f t="shared" ref="N46:Y46" si="29">N$2/B$2*B46</f>
        <v>595253.266524589</v>
      </c>
      <c r="O46" s="24">
        <f t="shared" si="29"/>
        <v>582693.714954088</v>
      </c>
      <c r="P46" s="24">
        <f t="shared" si="29"/>
        <v>712368.641216666</v>
      </c>
      <c r="Q46" s="24">
        <f t="shared" si="29"/>
        <v>750860.52917247</v>
      </c>
      <c r="R46" s="24">
        <f t="shared" si="29"/>
        <v>848738.18229912</v>
      </c>
      <c r="S46" s="24">
        <f t="shared" si="29"/>
        <v>710136.386455611</v>
      </c>
      <c r="T46" s="24">
        <f t="shared" si="29"/>
        <v>519113.442818917</v>
      </c>
      <c r="U46" s="24">
        <f t="shared" si="29"/>
        <v>445987.930775128</v>
      </c>
      <c r="V46" s="24">
        <f t="shared" si="29"/>
        <v>771072.549704706</v>
      </c>
      <c r="W46" s="24">
        <f t="shared" si="29"/>
        <v>796494.511989641</v>
      </c>
      <c r="X46" s="24">
        <f t="shared" si="29"/>
        <v>788184.292034076</v>
      </c>
      <c r="Y46" s="24">
        <f t="shared" si="29"/>
        <v>742026.360196881</v>
      </c>
      <c r="AA46" s="32">
        <f t="shared" ref="AA46:AL46" si="30">B46/B$50</f>
        <v>0.258678793364953</v>
      </c>
      <c r="AB46" s="32">
        <f t="shared" si="30"/>
        <v>0.262101490284852</v>
      </c>
      <c r="AC46" s="32">
        <f t="shared" si="30"/>
        <v>0.256792360166585</v>
      </c>
      <c r="AD46" s="32">
        <f t="shared" si="30"/>
        <v>0.256231716809345</v>
      </c>
      <c r="AE46" s="32">
        <f t="shared" si="30"/>
        <v>0.256100888077289</v>
      </c>
      <c r="AF46" s="32">
        <f t="shared" si="30"/>
        <v>0.254789305391644</v>
      </c>
      <c r="AG46" s="32">
        <f t="shared" si="30"/>
        <v>0.241199951430101</v>
      </c>
      <c r="AH46" s="32">
        <f t="shared" si="30"/>
        <v>0.235385399894187</v>
      </c>
      <c r="AI46" s="32">
        <f t="shared" si="30"/>
        <v>0.241894495431333</v>
      </c>
      <c r="AJ46" s="32">
        <f t="shared" si="30"/>
        <v>0.242556384859939</v>
      </c>
      <c r="AK46" s="32">
        <f t="shared" si="30"/>
        <v>0.242682400053709</v>
      </c>
      <c r="AL46" s="32">
        <f t="shared" si="30"/>
        <v>0.243074669170491</v>
      </c>
    </row>
    <row r="47" customHeight="1" spans="1:38">
      <c r="A47" s="7" t="s">
        <v>214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4834</v>
      </c>
      <c r="H47" s="11">
        <v>6197</v>
      </c>
      <c r="I47" s="11">
        <v>6552</v>
      </c>
      <c r="J47" s="11">
        <v>15624</v>
      </c>
      <c r="K47" s="11">
        <v>21667</v>
      </c>
      <c r="L47" s="11">
        <v>26738</v>
      </c>
      <c r="M47" s="11">
        <v>26802</v>
      </c>
      <c r="N47" s="24">
        <f t="shared" ref="N47:Y47" si="31">N$2/B$2*B47</f>
        <v>0</v>
      </c>
      <c r="O47" s="24">
        <f t="shared" si="31"/>
        <v>0</v>
      </c>
      <c r="P47" s="24">
        <f t="shared" si="31"/>
        <v>0</v>
      </c>
      <c r="Q47" s="24">
        <f t="shared" si="31"/>
        <v>0</v>
      </c>
      <c r="R47" s="24">
        <f t="shared" si="31"/>
        <v>0</v>
      </c>
      <c r="S47" s="24">
        <f t="shared" si="31"/>
        <v>9024.08831696413</v>
      </c>
      <c r="T47" s="24">
        <f t="shared" si="31"/>
        <v>10185.3660244074</v>
      </c>
      <c r="U47" s="24">
        <f t="shared" si="31"/>
        <v>11876.8662966852</v>
      </c>
      <c r="V47" s="24">
        <f t="shared" si="31"/>
        <v>25092.2429831548</v>
      </c>
      <c r="W47" s="24">
        <f t="shared" si="31"/>
        <v>30791.9326825814</v>
      </c>
      <c r="X47" s="24">
        <f t="shared" si="31"/>
        <v>36667.5800015435</v>
      </c>
      <c r="Y47" s="24">
        <f t="shared" si="31"/>
        <v>41191.0709749778</v>
      </c>
      <c r="AA47" s="32">
        <f t="shared" ref="AA47:AL47" si="32">B47/B$50</f>
        <v>0</v>
      </c>
      <c r="AB47" s="32">
        <f t="shared" si="32"/>
        <v>0</v>
      </c>
      <c r="AC47" s="32">
        <f t="shared" si="32"/>
        <v>0</v>
      </c>
      <c r="AD47" s="32">
        <f t="shared" si="32"/>
        <v>0</v>
      </c>
      <c r="AE47" s="32">
        <f t="shared" si="32"/>
        <v>0</v>
      </c>
      <c r="AF47" s="32">
        <f t="shared" si="32"/>
        <v>0.00323774592870529</v>
      </c>
      <c r="AG47" s="32">
        <f t="shared" si="32"/>
        <v>0.00473251044520116</v>
      </c>
      <c r="AH47" s="32">
        <f t="shared" si="32"/>
        <v>0.00626842282004403</v>
      </c>
      <c r="AI47" s="32">
        <f t="shared" si="32"/>
        <v>0.00787173069249465</v>
      </c>
      <c r="AJ47" s="32">
        <f t="shared" si="32"/>
        <v>0.00937706382393088</v>
      </c>
      <c r="AK47" s="32">
        <f t="shared" si="32"/>
        <v>0.0112899691212715</v>
      </c>
      <c r="AL47" s="32">
        <f t="shared" si="32"/>
        <v>0.0134934639617982</v>
      </c>
    </row>
    <row r="48" customHeight="1" spans="1:38">
      <c r="A48" s="7" t="s">
        <v>215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66746</v>
      </c>
      <c r="I48" s="13">
        <v>77135</v>
      </c>
      <c r="J48" s="13">
        <v>101613</v>
      </c>
      <c r="K48" s="13">
        <v>113449</v>
      </c>
      <c r="L48" s="13">
        <v>116148</v>
      </c>
      <c r="M48" s="13">
        <v>96113</v>
      </c>
      <c r="N48" s="24">
        <f t="shared" ref="N48:Y48" si="33">N$2/B$2*B48</f>
        <v>0</v>
      </c>
      <c r="O48" s="24">
        <f t="shared" si="33"/>
        <v>0</v>
      </c>
      <c r="P48" s="24">
        <f t="shared" si="33"/>
        <v>0</v>
      </c>
      <c r="Q48" s="24">
        <f t="shared" si="33"/>
        <v>0</v>
      </c>
      <c r="R48" s="24">
        <f t="shared" si="33"/>
        <v>0</v>
      </c>
      <c r="S48" s="24">
        <f t="shared" si="33"/>
        <v>0</v>
      </c>
      <c r="T48" s="24">
        <f t="shared" si="33"/>
        <v>109703.475982749</v>
      </c>
      <c r="U48" s="24">
        <f t="shared" si="33"/>
        <v>139823.272557205</v>
      </c>
      <c r="V48" s="24">
        <f t="shared" si="33"/>
        <v>163191.12175162</v>
      </c>
      <c r="W48" s="24">
        <f t="shared" si="33"/>
        <v>161227.395158821</v>
      </c>
      <c r="X48" s="24">
        <f t="shared" si="33"/>
        <v>159281.400329841</v>
      </c>
      <c r="Y48" s="24">
        <f t="shared" si="33"/>
        <v>147712.760414075</v>
      </c>
      <c r="AA48" s="32">
        <f t="shared" ref="AA48:AL48" si="34">B48/B$50</f>
        <v>0</v>
      </c>
      <c r="AB48" s="32">
        <f t="shared" si="34"/>
        <v>0</v>
      </c>
      <c r="AC48" s="32">
        <f t="shared" si="34"/>
        <v>0</v>
      </c>
      <c r="AD48" s="32">
        <f t="shared" si="34"/>
        <v>0</v>
      </c>
      <c r="AE48" s="32">
        <f t="shared" si="34"/>
        <v>0</v>
      </c>
      <c r="AF48" s="32">
        <f t="shared" si="34"/>
        <v>0</v>
      </c>
      <c r="AG48" s="32">
        <f t="shared" si="34"/>
        <v>0.0509724289455215</v>
      </c>
      <c r="AH48" s="32">
        <f t="shared" si="34"/>
        <v>0.0737965192649719</v>
      </c>
      <c r="AI48" s="32">
        <f t="shared" si="34"/>
        <v>0.0511949674127278</v>
      </c>
      <c r="AJ48" s="32">
        <f t="shared" si="34"/>
        <v>0.049098560657273</v>
      </c>
      <c r="AK48" s="32">
        <f t="shared" si="34"/>
        <v>0.049042835421402</v>
      </c>
      <c r="AL48" s="32">
        <f t="shared" si="34"/>
        <v>0.0483880793134957</v>
      </c>
    </row>
    <row r="49" customHeight="1" spans="1:38">
      <c r="A49" s="7" t="s">
        <v>216</v>
      </c>
      <c r="B49" s="11">
        <v>173654</v>
      </c>
      <c r="C49" s="11">
        <v>171294</v>
      </c>
      <c r="D49" s="11">
        <v>242685</v>
      </c>
      <c r="E49" s="11">
        <v>241908</v>
      </c>
      <c r="F49" s="11">
        <v>254364</v>
      </c>
      <c r="G49" s="11">
        <v>236249</v>
      </c>
      <c r="H49" s="11">
        <v>195281</v>
      </c>
      <c r="I49" s="11">
        <v>150301</v>
      </c>
      <c r="J49" s="11">
        <v>283749</v>
      </c>
      <c r="K49" s="11">
        <v>325145</v>
      </c>
      <c r="L49" s="11">
        <v>332463</v>
      </c>
      <c r="M49" s="11">
        <v>278308</v>
      </c>
      <c r="N49" s="24">
        <f t="shared" ref="N49:Y49" si="35">N$2/B$2*B49</f>
        <v>356730.836177803</v>
      </c>
      <c r="O49" s="24">
        <f t="shared" si="35"/>
        <v>319280.703770918</v>
      </c>
      <c r="P49" s="24">
        <f t="shared" si="35"/>
        <v>443212.354110265</v>
      </c>
      <c r="Q49" s="24">
        <f t="shared" si="35"/>
        <v>468001.063831406</v>
      </c>
      <c r="R49" s="24">
        <f t="shared" si="35"/>
        <v>526279.908639189</v>
      </c>
      <c r="S49" s="24">
        <f t="shared" si="35"/>
        <v>441028.514851977</v>
      </c>
      <c r="T49" s="24">
        <f t="shared" si="35"/>
        <v>320963.121286477</v>
      </c>
      <c r="U49" s="24">
        <f t="shared" si="35"/>
        <v>272451.904953919</v>
      </c>
      <c r="V49" s="24">
        <f t="shared" si="35"/>
        <v>455702.691642806</v>
      </c>
      <c r="W49" s="24">
        <f t="shared" si="35"/>
        <v>462077.950435128</v>
      </c>
      <c r="X49" s="24">
        <f t="shared" si="35"/>
        <v>455928.403397904</v>
      </c>
      <c r="Y49" s="24">
        <f t="shared" si="35"/>
        <v>427721.982721592</v>
      </c>
      <c r="AA49" s="32">
        <f t="shared" ref="AA49:AL49" si="36">B49/B$50</f>
        <v>0.155024268572801</v>
      </c>
      <c r="AB49" s="32">
        <f t="shared" si="36"/>
        <v>0.143615669999371</v>
      </c>
      <c r="AC49" s="32">
        <f t="shared" si="36"/>
        <v>0.159767766128193</v>
      </c>
      <c r="AD49" s="32">
        <f t="shared" si="36"/>
        <v>0.159705712838951</v>
      </c>
      <c r="AE49" s="32">
        <f t="shared" si="36"/>
        <v>0.158801329774781</v>
      </c>
      <c r="AF49" s="32">
        <f t="shared" si="36"/>
        <v>0.158236292492904</v>
      </c>
      <c r="AG49" s="32">
        <f t="shared" si="36"/>
        <v>0.149131736686998</v>
      </c>
      <c r="AH49" s="32">
        <f t="shared" si="36"/>
        <v>0.14379582086011</v>
      </c>
      <c r="AI49" s="32">
        <f t="shared" si="36"/>
        <v>0.142959274978537</v>
      </c>
      <c r="AJ49" s="32">
        <f t="shared" si="36"/>
        <v>0.140716546685374</v>
      </c>
      <c r="AK49" s="32">
        <f t="shared" si="36"/>
        <v>0.140380619491559</v>
      </c>
      <c r="AL49" s="32">
        <f t="shared" si="36"/>
        <v>0.140114132090148</v>
      </c>
    </row>
    <row r="50" customHeight="1" spans="1:38">
      <c r="A50" s="19" t="s">
        <v>217</v>
      </c>
      <c r="B50" s="20" t="s">
        <v>218</v>
      </c>
      <c r="C50" s="20" t="s">
        <v>219</v>
      </c>
      <c r="D50" s="20" t="s">
        <v>220</v>
      </c>
      <c r="E50" s="20" t="s">
        <v>221</v>
      </c>
      <c r="F50" s="20" t="s">
        <v>222</v>
      </c>
      <c r="G50" s="20" t="s">
        <v>223</v>
      </c>
      <c r="H50" s="20" t="s">
        <v>224</v>
      </c>
      <c r="I50" s="20" t="s">
        <v>225</v>
      </c>
      <c r="J50" s="20" t="s">
        <v>226</v>
      </c>
      <c r="K50" s="20" t="s">
        <v>227</v>
      </c>
      <c r="L50" s="20" t="s">
        <v>228</v>
      </c>
      <c r="M50" s="20" t="s">
        <v>229</v>
      </c>
      <c r="N50" s="24">
        <f t="shared" ref="N50:Y50" si="37">N$2/B$2*B50</f>
        <v>2301128.97459199</v>
      </c>
      <c r="O50" s="24">
        <f t="shared" si="37"/>
        <v>2223160.63262676</v>
      </c>
      <c r="P50" s="24">
        <f t="shared" si="37"/>
        <v>2774103.71848501</v>
      </c>
      <c r="Q50" s="24">
        <f t="shared" si="37"/>
        <v>2930396.51188523</v>
      </c>
      <c r="R50" s="24">
        <f t="shared" si="37"/>
        <v>3314077.46638886</v>
      </c>
      <c r="S50" s="24">
        <f t="shared" si="37"/>
        <v>2787151.46761768</v>
      </c>
      <c r="T50" s="24">
        <f t="shared" si="37"/>
        <v>2152212.05369668</v>
      </c>
      <c r="U50" s="24">
        <f t="shared" si="37"/>
        <v>1894713.65248488</v>
      </c>
      <c r="V50" s="24">
        <f t="shared" si="37"/>
        <v>3187639.91850981</v>
      </c>
      <c r="W50" s="24">
        <f t="shared" si="37"/>
        <v>3283749.93076173</v>
      </c>
      <c r="X50" s="24">
        <f t="shared" si="37"/>
        <v>3247801.6199759</v>
      </c>
      <c r="Y50" s="24">
        <f t="shared" si="37"/>
        <v>3052668.39497961</v>
      </c>
      <c r="AA50" s="32">
        <f t="shared" ref="AA50:AL50" si="38">B50/B$50</f>
        <v>1</v>
      </c>
      <c r="AB50" s="32">
        <f t="shared" si="38"/>
        <v>1</v>
      </c>
      <c r="AC50" s="32">
        <f t="shared" si="38"/>
        <v>1</v>
      </c>
      <c r="AD50" s="32">
        <f t="shared" si="38"/>
        <v>1</v>
      </c>
      <c r="AE50" s="32">
        <f t="shared" si="38"/>
        <v>1</v>
      </c>
      <c r="AF50" s="32">
        <f t="shared" si="38"/>
        <v>1</v>
      </c>
      <c r="AG50" s="32">
        <f t="shared" si="38"/>
        <v>1</v>
      </c>
      <c r="AH50" s="32">
        <f t="shared" si="38"/>
        <v>1</v>
      </c>
      <c r="AI50" s="32">
        <f t="shared" si="38"/>
        <v>1</v>
      </c>
      <c r="AJ50" s="32">
        <f t="shared" si="38"/>
        <v>1</v>
      </c>
      <c r="AK50" s="32">
        <f t="shared" si="38"/>
        <v>1</v>
      </c>
      <c r="AL50" s="32">
        <f t="shared" si="38"/>
        <v>1</v>
      </c>
    </row>
    <row r="52" customHeight="1" spans="1:25">
      <c r="A52" s="8" t="s">
        <v>207</v>
      </c>
      <c r="B52" s="17">
        <v>26</v>
      </c>
      <c r="C52" s="17">
        <v>24</v>
      </c>
      <c r="D52" s="17">
        <v>26</v>
      </c>
      <c r="E52" s="17">
        <v>24</v>
      </c>
      <c r="F52" s="17">
        <v>24</v>
      </c>
      <c r="G52" s="17">
        <v>24</v>
      </c>
      <c r="H52" s="17">
        <v>26</v>
      </c>
      <c r="I52" s="17">
        <v>25</v>
      </c>
      <c r="J52" s="17">
        <v>26</v>
      </c>
      <c r="K52" s="17">
        <v>27</v>
      </c>
      <c r="L52" s="17">
        <v>23</v>
      </c>
      <c r="M52" s="17">
        <v>25</v>
      </c>
      <c r="N52" s="25">
        <f t="shared" ref="N52:Y52" si="39">N13</f>
        <v>26</v>
      </c>
      <c r="O52" s="25">
        <f t="shared" si="39"/>
        <v>24</v>
      </c>
      <c r="P52" s="25">
        <f t="shared" si="39"/>
        <v>26</v>
      </c>
      <c r="Q52" s="25">
        <f t="shared" si="39"/>
        <v>24</v>
      </c>
      <c r="R52" s="25">
        <f t="shared" si="39"/>
        <v>22</v>
      </c>
      <c r="S52" s="25">
        <f t="shared" si="39"/>
        <v>26</v>
      </c>
      <c r="T52" s="25">
        <f t="shared" si="39"/>
        <v>26</v>
      </c>
      <c r="U52" s="25">
        <f t="shared" si="39"/>
        <v>25</v>
      </c>
      <c r="V52" s="25">
        <f t="shared" si="39"/>
        <v>26</v>
      </c>
      <c r="W52" s="25">
        <f t="shared" si="39"/>
        <v>27</v>
      </c>
      <c r="X52" s="25">
        <f t="shared" si="39"/>
        <v>24</v>
      </c>
      <c r="Y52" s="25">
        <f t="shared" si="39"/>
        <v>25</v>
      </c>
    </row>
    <row r="53" customHeight="1" spans="1:25">
      <c r="A53" s="10" t="s">
        <v>211</v>
      </c>
      <c r="B53" s="11">
        <f t="shared" ref="B53:Y53" si="40">B45/B$52</f>
        <v>25259.7307692308</v>
      </c>
      <c r="C53" s="11">
        <f t="shared" si="40"/>
        <v>29534</v>
      </c>
      <c r="D53" s="11">
        <f t="shared" si="40"/>
        <v>34086</v>
      </c>
      <c r="E53" s="11">
        <f t="shared" si="40"/>
        <v>36861.9583333333</v>
      </c>
      <c r="F53" s="11">
        <f t="shared" si="40"/>
        <v>39049.7916666667</v>
      </c>
      <c r="G53" s="11">
        <f t="shared" si="40"/>
        <v>36313.5833333333</v>
      </c>
      <c r="H53" s="11">
        <f t="shared" si="40"/>
        <v>27899.5384615385</v>
      </c>
      <c r="I53" s="11">
        <f t="shared" si="40"/>
        <v>22608.68</v>
      </c>
      <c r="J53" s="11">
        <f t="shared" si="40"/>
        <v>42450.7692307692</v>
      </c>
      <c r="K53" s="11">
        <f t="shared" si="40"/>
        <v>47774.7037037037</v>
      </c>
      <c r="L53" s="11">
        <f t="shared" si="40"/>
        <v>57313.2173913043</v>
      </c>
      <c r="M53" s="11">
        <f t="shared" si="40"/>
        <v>44090.16</v>
      </c>
      <c r="N53" s="24">
        <f t="shared" si="40"/>
        <v>51890.1083702873</v>
      </c>
      <c r="O53" s="24">
        <f t="shared" si="40"/>
        <v>55049.4255792398</v>
      </c>
      <c r="P53" s="24">
        <f t="shared" si="40"/>
        <v>62250.8037258277</v>
      </c>
      <c r="Q53" s="24">
        <f t="shared" si="40"/>
        <v>71314.0355627303</v>
      </c>
      <c r="R53" s="24">
        <f t="shared" si="40"/>
        <v>88139.0625204797</v>
      </c>
      <c r="S53" s="24">
        <f t="shared" si="40"/>
        <v>62575.4081229948</v>
      </c>
      <c r="T53" s="24">
        <f t="shared" si="40"/>
        <v>45855.5770764565</v>
      </c>
      <c r="U53" s="24">
        <f t="shared" si="40"/>
        <v>40982.9471160775</v>
      </c>
      <c r="V53" s="24">
        <f t="shared" si="40"/>
        <v>68176.2043241356</v>
      </c>
      <c r="W53" s="24">
        <f t="shared" si="40"/>
        <v>67894.74594428</v>
      </c>
      <c r="X53" s="24">
        <f t="shared" si="40"/>
        <v>75322.4976755222</v>
      </c>
      <c r="Y53" s="24">
        <f t="shared" si="40"/>
        <v>67760.6488268833</v>
      </c>
    </row>
    <row r="54" customHeight="1" spans="1:25">
      <c r="A54" s="12" t="s">
        <v>213</v>
      </c>
      <c r="B54" s="11">
        <f t="shared" ref="B54:Y54" si="41">B46/B$52</f>
        <v>11144.8076923077</v>
      </c>
      <c r="C54" s="11">
        <f t="shared" si="41"/>
        <v>13025.625</v>
      </c>
      <c r="D54" s="11">
        <f t="shared" si="41"/>
        <v>15002.4615384615</v>
      </c>
      <c r="E54" s="11">
        <f t="shared" si="41"/>
        <v>16171.5416666667</v>
      </c>
      <c r="F54" s="11">
        <f t="shared" si="41"/>
        <v>17092.3333333333</v>
      </c>
      <c r="G54" s="11">
        <f t="shared" si="41"/>
        <v>15850.1666666667</v>
      </c>
      <c r="H54" s="11">
        <f t="shared" si="41"/>
        <v>12147.6923076923</v>
      </c>
      <c r="I54" s="11">
        <f t="shared" si="41"/>
        <v>9841.36</v>
      </c>
      <c r="J54" s="11">
        <f t="shared" si="41"/>
        <v>18466.0769230769</v>
      </c>
      <c r="K54" s="11">
        <f t="shared" si="41"/>
        <v>20757.7777777778</v>
      </c>
      <c r="L54" s="11">
        <f t="shared" si="41"/>
        <v>24988.8695652174</v>
      </c>
      <c r="M54" s="11">
        <f t="shared" si="41"/>
        <v>19312.72</v>
      </c>
      <c r="N54" s="24">
        <f t="shared" si="41"/>
        <v>22894.3564047919</v>
      </c>
      <c r="O54" s="24">
        <f t="shared" si="41"/>
        <v>24278.9047897537</v>
      </c>
      <c r="P54" s="24">
        <f t="shared" si="41"/>
        <v>27398.7938929487</v>
      </c>
      <c r="Q54" s="24">
        <f t="shared" si="41"/>
        <v>31285.8553821862</v>
      </c>
      <c r="R54" s="24">
        <f t="shared" si="41"/>
        <v>38579.0082863236</v>
      </c>
      <c r="S54" s="24">
        <f t="shared" si="41"/>
        <v>27312.9379406004</v>
      </c>
      <c r="T54" s="24">
        <f t="shared" si="41"/>
        <v>19965.9016468814</v>
      </c>
      <c r="U54" s="24">
        <f t="shared" si="41"/>
        <v>17839.5172310051</v>
      </c>
      <c r="V54" s="24">
        <f t="shared" si="41"/>
        <v>29656.6365271041</v>
      </c>
      <c r="W54" s="24">
        <f t="shared" si="41"/>
        <v>29499.7967403571</v>
      </c>
      <c r="X54" s="24">
        <f t="shared" si="41"/>
        <v>32841.0121680865</v>
      </c>
      <c r="Y54" s="24">
        <f t="shared" si="41"/>
        <v>29681.0544078752</v>
      </c>
    </row>
    <row r="55" customHeight="1" spans="1:25">
      <c r="A55" s="10" t="s">
        <v>214</v>
      </c>
      <c r="B55" s="11">
        <f t="shared" ref="B55:Y55" si="42">B47/B$52</f>
        <v>0</v>
      </c>
      <c r="C55" s="11">
        <f t="shared" si="42"/>
        <v>0</v>
      </c>
      <c r="D55" s="11">
        <f t="shared" si="42"/>
        <v>0</v>
      </c>
      <c r="E55" s="11">
        <f t="shared" si="42"/>
        <v>0</v>
      </c>
      <c r="F55" s="11">
        <f t="shared" si="42"/>
        <v>0</v>
      </c>
      <c r="G55" s="11">
        <f t="shared" si="42"/>
        <v>201.416666666667</v>
      </c>
      <c r="H55" s="11">
        <f t="shared" si="42"/>
        <v>238.346153846154</v>
      </c>
      <c r="I55" s="11">
        <f t="shared" si="42"/>
        <v>262.08</v>
      </c>
      <c r="J55" s="11">
        <f t="shared" si="42"/>
        <v>600.923076923077</v>
      </c>
      <c r="K55" s="11">
        <f t="shared" si="42"/>
        <v>802.481481481482</v>
      </c>
      <c r="L55" s="11">
        <f t="shared" si="42"/>
        <v>1162.52173913043</v>
      </c>
      <c r="M55" s="11">
        <f t="shared" si="42"/>
        <v>1072.08</v>
      </c>
      <c r="N55" s="24">
        <f t="shared" si="42"/>
        <v>0</v>
      </c>
      <c r="O55" s="24">
        <f t="shared" si="42"/>
        <v>0</v>
      </c>
      <c r="P55" s="24">
        <f t="shared" si="42"/>
        <v>0</v>
      </c>
      <c r="Q55" s="24">
        <f t="shared" si="42"/>
        <v>0</v>
      </c>
      <c r="R55" s="24">
        <f t="shared" si="42"/>
        <v>0</v>
      </c>
      <c r="S55" s="24">
        <f t="shared" si="42"/>
        <v>347.080319883236</v>
      </c>
      <c r="T55" s="24">
        <f t="shared" si="42"/>
        <v>391.744847092592</v>
      </c>
      <c r="U55" s="24">
        <f t="shared" si="42"/>
        <v>475.074651867407</v>
      </c>
      <c r="V55" s="24">
        <f t="shared" si="42"/>
        <v>965.086268582878</v>
      </c>
      <c r="W55" s="24">
        <f t="shared" si="42"/>
        <v>1140.44195120672</v>
      </c>
      <c r="X55" s="24">
        <f t="shared" si="42"/>
        <v>1527.81583339765</v>
      </c>
      <c r="Y55" s="24">
        <f t="shared" si="42"/>
        <v>1647.64283899911</v>
      </c>
    </row>
    <row r="56" customHeight="1" spans="1:25">
      <c r="A56" s="12" t="s">
        <v>215</v>
      </c>
      <c r="B56" s="11">
        <f t="shared" ref="B56:Y56" si="43">B48/B$52</f>
        <v>0</v>
      </c>
      <c r="C56" s="11">
        <f t="shared" si="43"/>
        <v>0</v>
      </c>
      <c r="D56" s="11">
        <f t="shared" si="43"/>
        <v>0</v>
      </c>
      <c r="E56" s="11">
        <f t="shared" si="43"/>
        <v>0</v>
      </c>
      <c r="F56" s="11">
        <f t="shared" si="43"/>
        <v>0</v>
      </c>
      <c r="G56" s="11">
        <f t="shared" si="43"/>
        <v>0</v>
      </c>
      <c r="H56" s="11">
        <f t="shared" si="43"/>
        <v>2567.15384615385</v>
      </c>
      <c r="I56" s="11">
        <f t="shared" si="43"/>
        <v>3085.4</v>
      </c>
      <c r="J56" s="11">
        <f t="shared" si="43"/>
        <v>3908.19230769231</v>
      </c>
      <c r="K56" s="11">
        <f t="shared" si="43"/>
        <v>4201.81481481481</v>
      </c>
      <c r="L56" s="11">
        <f t="shared" si="43"/>
        <v>5049.91304347826</v>
      </c>
      <c r="M56" s="11">
        <f t="shared" si="43"/>
        <v>3844.52</v>
      </c>
      <c r="N56" s="24">
        <f t="shared" si="43"/>
        <v>0</v>
      </c>
      <c r="O56" s="24">
        <f t="shared" si="43"/>
        <v>0</v>
      </c>
      <c r="P56" s="24">
        <f t="shared" si="43"/>
        <v>0</v>
      </c>
      <c r="Q56" s="24">
        <f t="shared" si="43"/>
        <v>0</v>
      </c>
      <c r="R56" s="24">
        <f t="shared" si="43"/>
        <v>0</v>
      </c>
      <c r="S56" s="24">
        <f t="shared" si="43"/>
        <v>0</v>
      </c>
      <c r="T56" s="24">
        <f t="shared" si="43"/>
        <v>4219.36446087496</v>
      </c>
      <c r="U56" s="24">
        <f t="shared" si="43"/>
        <v>5592.93090228822</v>
      </c>
      <c r="V56" s="24">
        <f t="shared" si="43"/>
        <v>6276.58160583154</v>
      </c>
      <c r="W56" s="24">
        <f t="shared" si="43"/>
        <v>5971.38500588226</v>
      </c>
      <c r="X56" s="24">
        <f t="shared" si="43"/>
        <v>6636.72501374336</v>
      </c>
      <c r="Y56" s="24">
        <f t="shared" si="43"/>
        <v>5908.510416563</v>
      </c>
    </row>
    <row r="57" customHeight="1" spans="1:25">
      <c r="A57" s="10" t="s">
        <v>216</v>
      </c>
      <c r="B57" s="11">
        <f t="shared" ref="B57:Y57" si="44">B49/B$52</f>
        <v>6679</v>
      </c>
      <c r="C57" s="11">
        <f t="shared" si="44"/>
        <v>7137.25</v>
      </c>
      <c r="D57" s="11">
        <f t="shared" si="44"/>
        <v>9334.03846153846</v>
      </c>
      <c r="E57" s="11">
        <f t="shared" si="44"/>
        <v>10079.5</v>
      </c>
      <c r="F57" s="11">
        <f t="shared" si="44"/>
        <v>10598.5</v>
      </c>
      <c r="G57" s="11">
        <f t="shared" si="44"/>
        <v>9843.70833333333</v>
      </c>
      <c r="H57" s="11">
        <f t="shared" si="44"/>
        <v>7510.80769230769</v>
      </c>
      <c r="I57" s="11">
        <f t="shared" si="44"/>
        <v>6012.04</v>
      </c>
      <c r="J57" s="11">
        <f t="shared" si="44"/>
        <v>10913.4230769231</v>
      </c>
      <c r="K57" s="11">
        <f t="shared" si="44"/>
        <v>12042.4074074074</v>
      </c>
      <c r="L57" s="11">
        <f t="shared" si="44"/>
        <v>14454.9130434783</v>
      </c>
      <c r="M57" s="11">
        <f t="shared" si="44"/>
        <v>11132.32</v>
      </c>
      <c r="N57" s="24">
        <f t="shared" si="44"/>
        <v>13720.4167760693</v>
      </c>
      <c r="O57" s="24">
        <f t="shared" si="44"/>
        <v>13303.3626571216</v>
      </c>
      <c r="P57" s="24">
        <f t="shared" si="44"/>
        <v>17046.629004241</v>
      </c>
      <c r="Q57" s="24">
        <f t="shared" si="44"/>
        <v>19500.0443263086</v>
      </c>
      <c r="R57" s="24">
        <f t="shared" si="44"/>
        <v>23921.814029054</v>
      </c>
      <c r="S57" s="24">
        <f t="shared" si="44"/>
        <v>16962.6351866145</v>
      </c>
      <c r="T57" s="24">
        <f t="shared" si="44"/>
        <v>12344.7354340953</v>
      </c>
      <c r="U57" s="24">
        <f t="shared" si="44"/>
        <v>10898.0761981568</v>
      </c>
      <c r="V57" s="24">
        <f t="shared" si="44"/>
        <v>17527.0266016464</v>
      </c>
      <c r="W57" s="24">
        <f t="shared" si="44"/>
        <v>17113.998164264</v>
      </c>
      <c r="X57" s="24">
        <f t="shared" si="44"/>
        <v>18997.016808246</v>
      </c>
      <c r="Y57" s="24">
        <f t="shared" si="44"/>
        <v>17108.8793088637</v>
      </c>
    </row>
    <row r="58" customHeight="1" spans="1:25">
      <c r="A58" s="19" t="s">
        <v>217</v>
      </c>
      <c r="B58" s="20">
        <f t="shared" ref="B58:Y58" si="45">SUM(B53:B57)</f>
        <v>43083.5384615385</v>
      </c>
      <c r="C58" s="20">
        <f t="shared" si="45"/>
        <v>49696.875</v>
      </c>
      <c r="D58" s="20">
        <f t="shared" si="45"/>
        <v>58422.5</v>
      </c>
      <c r="E58" s="20">
        <f t="shared" si="45"/>
        <v>63113</v>
      </c>
      <c r="F58" s="20">
        <f t="shared" si="45"/>
        <v>66740.625</v>
      </c>
      <c r="G58" s="20">
        <f t="shared" si="45"/>
        <v>62208.875</v>
      </c>
      <c r="H58" s="20">
        <f t="shared" si="45"/>
        <v>50363.5384615385</v>
      </c>
      <c r="I58" s="20">
        <f t="shared" si="45"/>
        <v>41809.56</v>
      </c>
      <c r="J58" s="20">
        <f t="shared" si="45"/>
        <v>76339.3846153846</v>
      </c>
      <c r="K58" s="20">
        <f t="shared" si="45"/>
        <v>85579.1851851852</v>
      </c>
      <c r="L58" s="20">
        <f t="shared" si="45"/>
        <v>102969.434782609</v>
      </c>
      <c r="M58" s="20">
        <f t="shared" si="45"/>
        <v>79451.8</v>
      </c>
      <c r="N58" s="28">
        <f t="shared" si="45"/>
        <v>88504.8815511485</v>
      </c>
      <c r="O58" s="28">
        <f t="shared" si="45"/>
        <v>92631.693026115</v>
      </c>
      <c r="P58" s="28">
        <f t="shared" si="45"/>
        <v>106696.226623017</v>
      </c>
      <c r="Q58" s="28">
        <f t="shared" si="45"/>
        <v>122099.935271225</v>
      </c>
      <c r="R58" s="28">
        <f t="shared" si="45"/>
        <v>150639.884835857</v>
      </c>
      <c r="S58" s="28">
        <f t="shared" si="45"/>
        <v>107198.061570093</v>
      </c>
      <c r="T58" s="28">
        <f t="shared" si="45"/>
        <v>82777.3234654008</v>
      </c>
      <c r="U58" s="28">
        <f t="shared" si="45"/>
        <v>75788.546099395</v>
      </c>
      <c r="V58" s="28">
        <f t="shared" si="45"/>
        <v>122601.5353273</v>
      </c>
      <c r="W58" s="28">
        <f t="shared" si="45"/>
        <v>121620.36780599</v>
      </c>
      <c r="X58" s="28">
        <f t="shared" si="45"/>
        <v>135325.067498996</v>
      </c>
      <c r="Y58" s="28">
        <f t="shared" si="45"/>
        <v>122106.735799184</v>
      </c>
    </row>
    <row r="59" customHeight="1" spans="1:39">
      <c r="A59" s="21" t="s">
        <v>230</v>
      </c>
      <c r="B59" s="22">
        <f t="shared" ref="B59:Y59" si="46">B53/B58</f>
        <v>0.586296568741229</v>
      </c>
      <c r="C59" s="22">
        <f t="shared" si="46"/>
        <v>0.594282839715777</v>
      </c>
      <c r="D59" s="22">
        <f t="shared" si="46"/>
        <v>0.583439599469383</v>
      </c>
      <c r="E59" s="22">
        <f t="shared" si="46"/>
        <v>0.584062844950063</v>
      </c>
      <c r="F59" s="22">
        <f t="shared" si="46"/>
        <v>0.58509778214793</v>
      </c>
      <c r="G59" s="22">
        <f t="shared" si="46"/>
        <v>0.583736377379166</v>
      </c>
      <c r="H59" s="22">
        <f t="shared" si="46"/>
        <v>0.553963031863711</v>
      </c>
      <c r="I59" s="22">
        <f t="shared" si="46"/>
        <v>0.540753837160688</v>
      </c>
      <c r="J59" s="22">
        <f t="shared" si="46"/>
        <v>0.556079531484908</v>
      </c>
      <c r="K59" s="22">
        <f t="shared" si="46"/>
        <v>0.558251443973483</v>
      </c>
      <c r="L59" s="22">
        <f t="shared" si="46"/>
        <v>0.556604175912058</v>
      </c>
      <c r="M59" s="22">
        <f t="shared" si="46"/>
        <v>0.554929655464067</v>
      </c>
      <c r="N59" s="29">
        <f t="shared" si="46"/>
        <v>0.586296568741229</v>
      </c>
      <c r="O59" s="29">
        <f t="shared" si="46"/>
        <v>0.594282839715777</v>
      </c>
      <c r="P59" s="29">
        <f t="shared" si="46"/>
        <v>0.583439599469383</v>
      </c>
      <c r="Q59" s="29">
        <f t="shared" si="46"/>
        <v>0.584062844950063</v>
      </c>
      <c r="R59" s="29">
        <f t="shared" si="46"/>
        <v>0.58509778214793</v>
      </c>
      <c r="S59" s="29">
        <f t="shared" si="46"/>
        <v>0.583736377379166</v>
      </c>
      <c r="T59" s="29">
        <f t="shared" si="46"/>
        <v>0.553963031863711</v>
      </c>
      <c r="U59" s="29">
        <f t="shared" si="46"/>
        <v>0.540753837160688</v>
      </c>
      <c r="V59" s="29">
        <f t="shared" si="46"/>
        <v>0.556079531484908</v>
      </c>
      <c r="W59" s="29">
        <f t="shared" si="46"/>
        <v>0.558251443973483</v>
      </c>
      <c r="X59" s="29">
        <f t="shared" si="46"/>
        <v>0.556604175912058</v>
      </c>
      <c r="Y59" s="29">
        <f t="shared" si="46"/>
        <v>0.554929655464067</v>
      </c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customHeight="1" spans="1:25">
      <c r="A60" s="21" t="s">
        <v>231</v>
      </c>
      <c r="B60" s="22">
        <f t="shared" ref="B60:Y60" si="47">B54/B58</f>
        <v>0.258679024292698</v>
      </c>
      <c r="C60" s="22">
        <f t="shared" si="47"/>
        <v>0.262101490284852</v>
      </c>
      <c r="D60" s="22">
        <f t="shared" si="47"/>
        <v>0.256792529221816</v>
      </c>
      <c r="E60" s="22">
        <f t="shared" si="47"/>
        <v>0.256231547647342</v>
      </c>
      <c r="F60" s="22">
        <f t="shared" si="47"/>
        <v>0.256100888077289</v>
      </c>
      <c r="G60" s="22">
        <f t="shared" si="47"/>
        <v>0.254789476046089</v>
      </c>
      <c r="H60" s="22">
        <f t="shared" si="47"/>
        <v>0.241200135629256</v>
      </c>
      <c r="I60" s="22">
        <f t="shared" si="47"/>
        <v>0.235385399894187</v>
      </c>
      <c r="J60" s="22">
        <f t="shared" si="47"/>
        <v>0.241894495431333</v>
      </c>
      <c r="K60" s="22">
        <f t="shared" si="47"/>
        <v>0.242556384859939</v>
      </c>
      <c r="L60" s="22">
        <f t="shared" si="47"/>
        <v>0.24268240005371</v>
      </c>
      <c r="M60" s="22">
        <f t="shared" si="47"/>
        <v>0.243074669170491</v>
      </c>
      <c r="N60" s="29">
        <f t="shared" si="47"/>
        <v>0.258679024292698</v>
      </c>
      <c r="O60" s="29">
        <f t="shared" si="47"/>
        <v>0.262101490284852</v>
      </c>
      <c r="P60" s="29">
        <f t="shared" si="47"/>
        <v>0.256792529221816</v>
      </c>
      <c r="Q60" s="29">
        <f t="shared" si="47"/>
        <v>0.256231547647342</v>
      </c>
      <c r="R60" s="29">
        <f t="shared" si="47"/>
        <v>0.256100888077289</v>
      </c>
      <c r="S60" s="29">
        <f t="shared" si="47"/>
        <v>0.254789476046089</v>
      </c>
      <c r="T60" s="29">
        <f t="shared" si="47"/>
        <v>0.241200135629256</v>
      </c>
      <c r="U60" s="29">
        <f t="shared" si="47"/>
        <v>0.235385399894187</v>
      </c>
      <c r="V60" s="29">
        <f t="shared" si="47"/>
        <v>0.241894495431333</v>
      </c>
      <c r="W60" s="29">
        <f t="shared" si="47"/>
        <v>0.242556384859939</v>
      </c>
      <c r="X60" s="29">
        <f t="shared" si="47"/>
        <v>0.242682400053709</v>
      </c>
      <c r="Y60" s="29">
        <f t="shared" si="47"/>
        <v>0.243074669170491</v>
      </c>
    </row>
    <row r="61" customHeight="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customHeight="1" spans="1:25">
      <c r="A62" s="8" t="s">
        <v>232</v>
      </c>
      <c r="B62" s="23">
        <v>0.3</v>
      </c>
      <c r="C62" s="23">
        <v>0.3</v>
      </c>
      <c r="D62" s="23">
        <v>0.3</v>
      </c>
      <c r="E62" s="23">
        <v>0.3</v>
      </c>
      <c r="F62" s="23">
        <v>0.3</v>
      </c>
      <c r="G62" s="23">
        <v>0.3</v>
      </c>
      <c r="H62" s="23">
        <v>0.3</v>
      </c>
      <c r="I62" s="23">
        <v>0.3</v>
      </c>
      <c r="J62" s="23">
        <v>0.3</v>
      </c>
      <c r="K62" s="23">
        <v>0.3</v>
      </c>
      <c r="L62" s="23">
        <v>0.3</v>
      </c>
      <c r="M62" s="23">
        <v>0.3</v>
      </c>
      <c r="N62" s="23">
        <v>0.3</v>
      </c>
      <c r="O62" s="23">
        <v>0.3</v>
      </c>
      <c r="P62" s="23">
        <v>0.3</v>
      </c>
      <c r="Q62" s="23">
        <v>0.3</v>
      </c>
      <c r="R62" s="23">
        <v>0.3</v>
      </c>
      <c r="S62" s="23">
        <v>0.3</v>
      </c>
      <c r="T62" s="23">
        <v>0.3</v>
      </c>
      <c r="U62" s="23">
        <v>0.3</v>
      </c>
      <c r="V62" s="23">
        <v>0.3</v>
      </c>
      <c r="W62" s="23">
        <v>0.3</v>
      </c>
      <c r="X62" s="23">
        <v>0.3</v>
      </c>
      <c r="Y62" s="23">
        <v>0.3</v>
      </c>
    </row>
    <row r="63" customHeight="1" spans="1:25">
      <c r="A63" s="10" t="s">
        <v>211</v>
      </c>
      <c r="B63" s="11">
        <f t="shared" ref="B63:Y63" si="48">B53*(1+B$62)</f>
        <v>32837.65</v>
      </c>
      <c r="C63" s="11">
        <f t="shared" si="48"/>
        <v>38394.2</v>
      </c>
      <c r="D63" s="11">
        <f t="shared" si="48"/>
        <v>44311.8</v>
      </c>
      <c r="E63" s="11">
        <f t="shared" si="48"/>
        <v>47920.5458333333</v>
      </c>
      <c r="F63" s="11">
        <f t="shared" si="48"/>
        <v>50764.7291666667</v>
      </c>
      <c r="G63" s="11">
        <f t="shared" si="48"/>
        <v>47207.6583333333</v>
      </c>
      <c r="H63" s="11">
        <f t="shared" si="48"/>
        <v>36269.4</v>
      </c>
      <c r="I63" s="11">
        <f t="shared" si="48"/>
        <v>29391.284</v>
      </c>
      <c r="J63" s="11">
        <f t="shared" si="48"/>
        <v>55186</v>
      </c>
      <c r="K63" s="11">
        <f t="shared" si="48"/>
        <v>62107.1148148148</v>
      </c>
      <c r="L63" s="11">
        <f t="shared" si="48"/>
        <v>74507.1826086957</v>
      </c>
      <c r="M63" s="11">
        <f t="shared" si="48"/>
        <v>57317.208</v>
      </c>
      <c r="N63" s="24">
        <f t="shared" si="48"/>
        <v>67457.1408813735</v>
      </c>
      <c r="O63" s="24">
        <f t="shared" si="48"/>
        <v>71564.2532530117</v>
      </c>
      <c r="P63" s="24">
        <f t="shared" si="48"/>
        <v>80926.044843576</v>
      </c>
      <c r="Q63" s="24">
        <f t="shared" si="48"/>
        <v>92708.2462315494</v>
      </c>
      <c r="R63" s="24">
        <f t="shared" si="48"/>
        <v>114580.781276624</v>
      </c>
      <c r="S63" s="24">
        <f t="shared" si="48"/>
        <v>81348.0305598932</v>
      </c>
      <c r="T63" s="24">
        <f t="shared" si="48"/>
        <v>59612.2501993935</v>
      </c>
      <c r="U63" s="24">
        <f t="shared" si="48"/>
        <v>53277.8312509008</v>
      </c>
      <c r="V63" s="24">
        <f t="shared" si="48"/>
        <v>88629.0656213762</v>
      </c>
      <c r="W63" s="24">
        <f t="shared" si="48"/>
        <v>88263.169727564</v>
      </c>
      <c r="X63" s="24">
        <f t="shared" si="48"/>
        <v>97919.2469781789</v>
      </c>
      <c r="Y63" s="24">
        <f t="shared" si="48"/>
        <v>88088.8434749482</v>
      </c>
    </row>
    <row r="64" customHeight="1" spans="1:25">
      <c r="A64" s="12" t="s">
        <v>213</v>
      </c>
      <c r="B64" s="11">
        <f t="shared" ref="B64:Y64" si="49">B54*(1+B$62)</f>
        <v>14488.25</v>
      </c>
      <c r="C64" s="11">
        <f t="shared" si="49"/>
        <v>16933.3125</v>
      </c>
      <c r="D64" s="11">
        <f t="shared" si="49"/>
        <v>19503.2</v>
      </c>
      <c r="E64" s="11">
        <f t="shared" si="49"/>
        <v>21023.0041666667</v>
      </c>
      <c r="F64" s="11">
        <f t="shared" si="49"/>
        <v>22220.0333333333</v>
      </c>
      <c r="G64" s="11">
        <f t="shared" si="49"/>
        <v>20605.2166666667</v>
      </c>
      <c r="H64" s="11">
        <f t="shared" si="49"/>
        <v>15792</v>
      </c>
      <c r="I64" s="11">
        <f t="shared" si="49"/>
        <v>12793.768</v>
      </c>
      <c r="J64" s="11">
        <f t="shared" si="49"/>
        <v>24005.9</v>
      </c>
      <c r="K64" s="11">
        <f t="shared" si="49"/>
        <v>26985.1111111111</v>
      </c>
      <c r="L64" s="11">
        <f t="shared" si="49"/>
        <v>32485.5304347826</v>
      </c>
      <c r="M64" s="11">
        <f t="shared" si="49"/>
        <v>25106.536</v>
      </c>
      <c r="N64" s="24">
        <f t="shared" si="49"/>
        <v>29762.6633262295</v>
      </c>
      <c r="O64" s="24">
        <f t="shared" si="49"/>
        <v>31562.5762266798</v>
      </c>
      <c r="P64" s="24">
        <f t="shared" si="49"/>
        <v>35618.4320608333</v>
      </c>
      <c r="Q64" s="24">
        <f t="shared" si="49"/>
        <v>40671.6119968421</v>
      </c>
      <c r="R64" s="24">
        <f t="shared" si="49"/>
        <v>50152.7107722207</v>
      </c>
      <c r="S64" s="24">
        <f t="shared" si="49"/>
        <v>35506.8193227805</v>
      </c>
      <c r="T64" s="24">
        <f t="shared" si="49"/>
        <v>25955.6721409459</v>
      </c>
      <c r="U64" s="24">
        <f t="shared" si="49"/>
        <v>23191.3724003067</v>
      </c>
      <c r="V64" s="24">
        <f t="shared" si="49"/>
        <v>38553.6274852353</v>
      </c>
      <c r="W64" s="24">
        <f t="shared" si="49"/>
        <v>38349.7357624642</v>
      </c>
      <c r="X64" s="24">
        <f t="shared" si="49"/>
        <v>42693.3158185125</v>
      </c>
      <c r="Y64" s="24">
        <f t="shared" si="49"/>
        <v>38585.3707302378</v>
      </c>
    </row>
    <row r="65" customHeight="1" spans="1:25">
      <c r="A65" s="10" t="s">
        <v>214</v>
      </c>
      <c r="B65" s="11">
        <f t="shared" ref="B65:Y65" si="50">B55*(1+B$62)</f>
        <v>0</v>
      </c>
      <c r="C65" s="11">
        <f t="shared" si="50"/>
        <v>0</v>
      </c>
      <c r="D65" s="11">
        <f t="shared" si="50"/>
        <v>0</v>
      </c>
      <c r="E65" s="11">
        <f t="shared" si="50"/>
        <v>0</v>
      </c>
      <c r="F65" s="11">
        <f t="shared" si="50"/>
        <v>0</v>
      </c>
      <c r="G65" s="11">
        <f t="shared" si="50"/>
        <v>261.841666666667</v>
      </c>
      <c r="H65" s="11">
        <f t="shared" si="50"/>
        <v>309.85</v>
      </c>
      <c r="I65" s="11">
        <f t="shared" si="50"/>
        <v>340.704</v>
      </c>
      <c r="J65" s="11">
        <f t="shared" si="50"/>
        <v>781.2</v>
      </c>
      <c r="K65" s="11">
        <f t="shared" si="50"/>
        <v>1043.22592592593</v>
      </c>
      <c r="L65" s="11">
        <f t="shared" si="50"/>
        <v>1511.27826086957</v>
      </c>
      <c r="M65" s="11">
        <f t="shared" si="50"/>
        <v>1393.704</v>
      </c>
      <c r="N65" s="24">
        <f t="shared" si="50"/>
        <v>0</v>
      </c>
      <c r="O65" s="24">
        <f t="shared" si="50"/>
        <v>0</v>
      </c>
      <c r="P65" s="24">
        <f t="shared" si="50"/>
        <v>0</v>
      </c>
      <c r="Q65" s="24">
        <f t="shared" si="50"/>
        <v>0</v>
      </c>
      <c r="R65" s="24">
        <f t="shared" si="50"/>
        <v>0</v>
      </c>
      <c r="S65" s="24">
        <f t="shared" si="50"/>
        <v>451.204415848206</v>
      </c>
      <c r="T65" s="24">
        <f t="shared" si="50"/>
        <v>509.26830122037</v>
      </c>
      <c r="U65" s="24">
        <f t="shared" si="50"/>
        <v>617.597047427629</v>
      </c>
      <c r="V65" s="24">
        <f t="shared" si="50"/>
        <v>1254.61214915774</v>
      </c>
      <c r="W65" s="24">
        <f t="shared" si="50"/>
        <v>1482.57453656873</v>
      </c>
      <c r="X65" s="24">
        <f t="shared" si="50"/>
        <v>1986.16058341694</v>
      </c>
      <c r="Y65" s="24">
        <f t="shared" si="50"/>
        <v>2141.93569069884</v>
      </c>
    </row>
    <row r="66" customHeight="1" spans="1:25">
      <c r="A66" s="12" t="s">
        <v>215</v>
      </c>
      <c r="B66" s="11">
        <f t="shared" ref="B66:Y66" si="51">B56*(1+B$62)</f>
        <v>0</v>
      </c>
      <c r="C66" s="11">
        <f t="shared" si="51"/>
        <v>0</v>
      </c>
      <c r="D66" s="11">
        <f t="shared" si="51"/>
        <v>0</v>
      </c>
      <c r="E66" s="11">
        <f t="shared" si="51"/>
        <v>0</v>
      </c>
      <c r="F66" s="11">
        <f t="shared" si="51"/>
        <v>0</v>
      </c>
      <c r="G66" s="11">
        <f t="shared" si="51"/>
        <v>0</v>
      </c>
      <c r="H66" s="11">
        <f t="shared" si="51"/>
        <v>3337.3</v>
      </c>
      <c r="I66" s="11">
        <f t="shared" si="51"/>
        <v>4011.02</v>
      </c>
      <c r="J66" s="11">
        <f t="shared" si="51"/>
        <v>5080.65</v>
      </c>
      <c r="K66" s="11">
        <f t="shared" si="51"/>
        <v>5462.35925925926</v>
      </c>
      <c r="L66" s="11">
        <f t="shared" si="51"/>
        <v>6564.88695652174</v>
      </c>
      <c r="M66" s="11">
        <f t="shared" si="51"/>
        <v>4997.876</v>
      </c>
      <c r="N66" s="24">
        <f t="shared" si="51"/>
        <v>0</v>
      </c>
      <c r="O66" s="24">
        <f t="shared" si="51"/>
        <v>0</v>
      </c>
      <c r="P66" s="24">
        <f t="shared" si="51"/>
        <v>0</v>
      </c>
      <c r="Q66" s="24">
        <f t="shared" si="51"/>
        <v>0</v>
      </c>
      <c r="R66" s="24">
        <f t="shared" si="51"/>
        <v>0</v>
      </c>
      <c r="S66" s="24">
        <f t="shared" si="51"/>
        <v>0</v>
      </c>
      <c r="T66" s="24">
        <f t="shared" si="51"/>
        <v>5485.17379913745</v>
      </c>
      <c r="U66" s="24">
        <f t="shared" si="51"/>
        <v>7270.81017297468</v>
      </c>
      <c r="V66" s="24">
        <f t="shared" si="51"/>
        <v>8159.556087581</v>
      </c>
      <c r="W66" s="24">
        <f t="shared" si="51"/>
        <v>7762.80050764694</v>
      </c>
      <c r="X66" s="24">
        <f t="shared" si="51"/>
        <v>8627.74251786637</v>
      </c>
      <c r="Y66" s="24">
        <f t="shared" si="51"/>
        <v>7681.0635415319</v>
      </c>
    </row>
    <row r="67" customHeight="1" spans="1:25">
      <c r="A67" s="10" t="s">
        <v>216</v>
      </c>
      <c r="B67" s="11">
        <f t="shared" ref="B67:Y67" si="52">B57*(1+B$62)</f>
        <v>8682.7</v>
      </c>
      <c r="C67" s="11">
        <f t="shared" si="52"/>
        <v>9278.425</v>
      </c>
      <c r="D67" s="11">
        <f t="shared" si="52"/>
        <v>12134.25</v>
      </c>
      <c r="E67" s="11">
        <f t="shared" si="52"/>
        <v>13103.35</v>
      </c>
      <c r="F67" s="11">
        <f t="shared" si="52"/>
        <v>13778.05</v>
      </c>
      <c r="G67" s="11">
        <f t="shared" si="52"/>
        <v>12796.8208333333</v>
      </c>
      <c r="H67" s="11">
        <f t="shared" si="52"/>
        <v>9764.05</v>
      </c>
      <c r="I67" s="11">
        <f t="shared" si="52"/>
        <v>7815.652</v>
      </c>
      <c r="J67" s="11">
        <f t="shared" si="52"/>
        <v>14187.45</v>
      </c>
      <c r="K67" s="11">
        <f t="shared" si="52"/>
        <v>15655.1296296296</v>
      </c>
      <c r="L67" s="11">
        <f t="shared" si="52"/>
        <v>18791.3869565217</v>
      </c>
      <c r="M67" s="11">
        <f t="shared" si="52"/>
        <v>14472.016</v>
      </c>
      <c r="N67" s="24">
        <f t="shared" si="52"/>
        <v>17836.5418088901</v>
      </c>
      <c r="O67" s="24">
        <f t="shared" si="52"/>
        <v>17294.3714542581</v>
      </c>
      <c r="P67" s="24">
        <f t="shared" si="52"/>
        <v>22160.6177055133</v>
      </c>
      <c r="Q67" s="24">
        <f t="shared" si="52"/>
        <v>25350.0576242011</v>
      </c>
      <c r="R67" s="24">
        <f t="shared" si="52"/>
        <v>31098.3582377702</v>
      </c>
      <c r="S67" s="24">
        <f t="shared" si="52"/>
        <v>22051.4257425989</v>
      </c>
      <c r="T67" s="24">
        <f t="shared" si="52"/>
        <v>16048.1560643239</v>
      </c>
      <c r="U67" s="24">
        <f t="shared" si="52"/>
        <v>14167.4990576038</v>
      </c>
      <c r="V67" s="24">
        <f t="shared" si="52"/>
        <v>22785.1345821403</v>
      </c>
      <c r="W67" s="24">
        <f t="shared" si="52"/>
        <v>22248.1976135432</v>
      </c>
      <c r="X67" s="24">
        <f t="shared" si="52"/>
        <v>24696.1218507198</v>
      </c>
      <c r="Y67" s="24">
        <f t="shared" si="52"/>
        <v>22241.5431015228</v>
      </c>
    </row>
    <row r="68" customHeight="1" spans="1:25">
      <c r="A68" s="19" t="s">
        <v>217</v>
      </c>
      <c r="B68" s="20">
        <f t="shared" ref="B68:Y68" si="53">SUM(B63:B67)</f>
        <v>56008.6</v>
      </c>
      <c r="C68" s="20">
        <f t="shared" si="53"/>
        <v>64605.9375</v>
      </c>
      <c r="D68" s="20">
        <f t="shared" si="53"/>
        <v>75949.25</v>
      </c>
      <c r="E68" s="20">
        <f t="shared" si="53"/>
        <v>82046.9</v>
      </c>
      <c r="F68" s="20">
        <f t="shared" si="53"/>
        <v>86762.8125</v>
      </c>
      <c r="G68" s="20">
        <f t="shared" si="53"/>
        <v>80871.5375</v>
      </c>
      <c r="H68" s="20">
        <f t="shared" si="53"/>
        <v>65472.6</v>
      </c>
      <c r="I68" s="20">
        <f t="shared" si="53"/>
        <v>54352.428</v>
      </c>
      <c r="J68" s="20">
        <f t="shared" si="53"/>
        <v>99241.2</v>
      </c>
      <c r="K68" s="20">
        <f t="shared" si="53"/>
        <v>111252.940740741</v>
      </c>
      <c r="L68" s="20">
        <f t="shared" si="53"/>
        <v>133860.265217391</v>
      </c>
      <c r="M68" s="20">
        <f t="shared" si="53"/>
        <v>103287.34</v>
      </c>
      <c r="N68" s="28">
        <f t="shared" si="53"/>
        <v>115056.346016493</v>
      </c>
      <c r="O68" s="28">
        <f t="shared" si="53"/>
        <v>120421.20093395</v>
      </c>
      <c r="P68" s="28">
        <f t="shared" si="53"/>
        <v>138705.094609923</v>
      </c>
      <c r="Q68" s="28">
        <f t="shared" si="53"/>
        <v>158729.915852593</v>
      </c>
      <c r="R68" s="28">
        <f t="shared" si="53"/>
        <v>195831.850286615</v>
      </c>
      <c r="S68" s="28">
        <f t="shared" si="53"/>
        <v>139357.480041121</v>
      </c>
      <c r="T68" s="28">
        <f t="shared" si="53"/>
        <v>107610.520505021</v>
      </c>
      <c r="U68" s="28">
        <f t="shared" si="53"/>
        <v>98525.1099292135</v>
      </c>
      <c r="V68" s="28">
        <f t="shared" si="53"/>
        <v>159381.995925491</v>
      </c>
      <c r="W68" s="28">
        <f t="shared" si="53"/>
        <v>158106.478147787</v>
      </c>
      <c r="X68" s="28">
        <f t="shared" si="53"/>
        <v>175922.587748694</v>
      </c>
      <c r="Y68" s="28">
        <f t="shared" si="53"/>
        <v>158738.75653894</v>
      </c>
    </row>
    <row r="71" customHeight="1" spans="1:25">
      <c r="A71" s="8" t="s">
        <v>233</v>
      </c>
      <c r="B71" s="9">
        <f t="shared" ref="B71:Y71" si="54">B44</f>
        <v>45658</v>
      </c>
      <c r="C71" s="9">
        <f t="shared" si="54"/>
        <v>45689</v>
      </c>
      <c r="D71" s="9">
        <f t="shared" si="54"/>
        <v>45717</v>
      </c>
      <c r="E71" s="9">
        <f t="shared" si="54"/>
        <v>45748</v>
      </c>
      <c r="F71" s="9">
        <f t="shared" si="54"/>
        <v>45778</v>
      </c>
      <c r="G71" s="9">
        <f t="shared" si="54"/>
        <v>45809</v>
      </c>
      <c r="H71" s="9">
        <f t="shared" si="54"/>
        <v>45839</v>
      </c>
      <c r="I71" s="9">
        <f t="shared" si="54"/>
        <v>45870</v>
      </c>
      <c r="J71" s="9">
        <f t="shared" si="54"/>
        <v>45901</v>
      </c>
      <c r="K71" s="9">
        <f t="shared" si="54"/>
        <v>45931</v>
      </c>
      <c r="L71" s="9">
        <f t="shared" si="54"/>
        <v>45962</v>
      </c>
      <c r="M71" s="9">
        <f t="shared" si="54"/>
        <v>45992</v>
      </c>
      <c r="N71" s="9">
        <f t="shared" si="54"/>
        <v>46023</v>
      </c>
      <c r="O71" s="9">
        <f t="shared" si="54"/>
        <v>46054</v>
      </c>
      <c r="P71" s="9">
        <f t="shared" si="54"/>
        <v>46082</v>
      </c>
      <c r="Q71" s="9">
        <f t="shared" si="54"/>
        <v>46113</v>
      </c>
      <c r="R71" s="9">
        <f t="shared" si="54"/>
        <v>46143</v>
      </c>
      <c r="S71" s="9">
        <f t="shared" si="54"/>
        <v>46174</v>
      </c>
      <c r="T71" s="9">
        <f t="shared" si="54"/>
        <v>46204</v>
      </c>
      <c r="U71" s="9">
        <f t="shared" si="54"/>
        <v>46235</v>
      </c>
      <c r="V71" s="9">
        <f t="shared" si="54"/>
        <v>46266</v>
      </c>
      <c r="W71" s="9">
        <f t="shared" si="54"/>
        <v>46296</v>
      </c>
      <c r="X71" s="9">
        <f t="shared" si="54"/>
        <v>46327</v>
      </c>
      <c r="Y71" s="9">
        <f t="shared" si="54"/>
        <v>46357</v>
      </c>
    </row>
    <row r="72" customHeight="1" spans="1:25">
      <c r="A72" s="10" t="s">
        <v>234</v>
      </c>
      <c r="B72" s="11">
        <f t="shared" ref="B72:Y72" si="55">SUM(B47:B49)</f>
        <v>173654</v>
      </c>
      <c r="C72" s="11">
        <f t="shared" si="55"/>
        <v>171294</v>
      </c>
      <c r="D72" s="11">
        <f t="shared" si="55"/>
        <v>242685</v>
      </c>
      <c r="E72" s="11">
        <f t="shared" si="55"/>
        <v>241908</v>
      </c>
      <c r="F72" s="11">
        <f t="shared" si="55"/>
        <v>254364</v>
      </c>
      <c r="G72" s="11">
        <f t="shared" si="55"/>
        <v>241083</v>
      </c>
      <c r="H72" s="11">
        <f t="shared" si="55"/>
        <v>268224</v>
      </c>
      <c r="I72" s="11">
        <f t="shared" si="55"/>
        <v>233988</v>
      </c>
      <c r="J72" s="11">
        <f t="shared" si="55"/>
        <v>400986</v>
      </c>
      <c r="K72" s="11">
        <f t="shared" si="55"/>
        <v>460261</v>
      </c>
      <c r="L72" s="11">
        <f t="shared" si="55"/>
        <v>475349</v>
      </c>
      <c r="M72" s="11">
        <f t="shared" si="55"/>
        <v>401223</v>
      </c>
      <c r="N72" s="24">
        <f t="shared" si="55"/>
        <v>356730.836177803</v>
      </c>
      <c r="O72" s="24">
        <f t="shared" si="55"/>
        <v>319280.703770918</v>
      </c>
      <c r="P72" s="24">
        <f t="shared" si="55"/>
        <v>443212.354110265</v>
      </c>
      <c r="Q72" s="24">
        <f t="shared" si="55"/>
        <v>468001.063831406</v>
      </c>
      <c r="R72" s="24">
        <f t="shared" si="55"/>
        <v>526279.908639189</v>
      </c>
      <c r="S72" s="24">
        <f t="shared" si="55"/>
        <v>450052.603168941</v>
      </c>
      <c r="T72" s="24">
        <f t="shared" si="55"/>
        <v>440851.963293634</v>
      </c>
      <c r="U72" s="24">
        <f t="shared" si="55"/>
        <v>424152.04380781</v>
      </c>
      <c r="V72" s="24">
        <f t="shared" si="55"/>
        <v>643986.056377581</v>
      </c>
      <c r="W72" s="24">
        <f t="shared" si="55"/>
        <v>654097.27827653</v>
      </c>
      <c r="X72" s="24">
        <f t="shared" si="55"/>
        <v>651877.383729288</v>
      </c>
      <c r="Y72" s="24">
        <f t="shared" si="55"/>
        <v>616625.814110645</v>
      </c>
    </row>
    <row r="73" customHeight="1" spans="1:25">
      <c r="A73" s="12" t="s">
        <v>207</v>
      </c>
      <c r="B73" s="13">
        <f t="shared" ref="B73:Y73" si="56">SUM(B55:B57)</f>
        <v>6679</v>
      </c>
      <c r="C73" s="13">
        <f t="shared" si="56"/>
        <v>7137.25</v>
      </c>
      <c r="D73" s="13">
        <f t="shared" si="56"/>
        <v>9334.03846153846</v>
      </c>
      <c r="E73" s="13">
        <f t="shared" si="56"/>
        <v>10079.5</v>
      </c>
      <c r="F73" s="13">
        <f t="shared" si="56"/>
        <v>10598.5</v>
      </c>
      <c r="G73" s="13">
        <f t="shared" si="56"/>
        <v>10045.125</v>
      </c>
      <c r="H73" s="13">
        <f t="shared" si="56"/>
        <v>10316.3076923077</v>
      </c>
      <c r="I73" s="13">
        <f t="shared" si="56"/>
        <v>9359.52</v>
      </c>
      <c r="J73" s="13">
        <f t="shared" si="56"/>
        <v>15422.5384615385</v>
      </c>
      <c r="K73" s="13">
        <f t="shared" si="56"/>
        <v>17046.7037037037</v>
      </c>
      <c r="L73" s="13">
        <f t="shared" si="56"/>
        <v>20667.347826087</v>
      </c>
      <c r="M73" s="13">
        <f t="shared" si="56"/>
        <v>16048.92</v>
      </c>
      <c r="N73" s="26">
        <f t="shared" si="56"/>
        <v>13720.4167760693</v>
      </c>
      <c r="O73" s="26">
        <f t="shared" si="56"/>
        <v>13303.3626571216</v>
      </c>
      <c r="P73" s="26">
        <f t="shared" si="56"/>
        <v>17046.629004241</v>
      </c>
      <c r="Q73" s="26">
        <f t="shared" si="56"/>
        <v>19500.0443263086</v>
      </c>
      <c r="R73" s="26">
        <f t="shared" si="56"/>
        <v>23921.814029054</v>
      </c>
      <c r="S73" s="26">
        <f t="shared" si="56"/>
        <v>17309.7155064977</v>
      </c>
      <c r="T73" s="26">
        <f t="shared" si="56"/>
        <v>16955.8447420628</v>
      </c>
      <c r="U73" s="26">
        <f t="shared" si="56"/>
        <v>16966.0817523124</v>
      </c>
      <c r="V73" s="26">
        <f t="shared" si="56"/>
        <v>24768.6944760608</v>
      </c>
      <c r="W73" s="26">
        <f t="shared" si="56"/>
        <v>24225.825121353</v>
      </c>
      <c r="X73" s="26">
        <f t="shared" si="56"/>
        <v>27161.557655387</v>
      </c>
      <c r="Y73" s="26">
        <f t="shared" si="56"/>
        <v>24665.0325644258</v>
      </c>
    </row>
    <row r="74" customHeight="1" spans="1:25">
      <c r="A74" s="10" t="s">
        <v>232</v>
      </c>
      <c r="B74" s="11">
        <f t="shared" ref="B74:Y74" si="57">SUM(B65:B67)</f>
        <v>8682.7</v>
      </c>
      <c r="C74" s="11">
        <f t="shared" si="57"/>
        <v>9278.425</v>
      </c>
      <c r="D74" s="11">
        <f t="shared" si="57"/>
        <v>12134.25</v>
      </c>
      <c r="E74" s="11">
        <f t="shared" si="57"/>
        <v>13103.35</v>
      </c>
      <c r="F74" s="11">
        <f t="shared" si="57"/>
        <v>13778.05</v>
      </c>
      <c r="G74" s="11">
        <f t="shared" si="57"/>
        <v>13058.6625</v>
      </c>
      <c r="H74" s="11">
        <f t="shared" si="57"/>
        <v>13411.2</v>
      </c>
      <c r="I74" s="11">
        <f t="shared" si="57"/>
        <v>12167.376</v>
      </c>
      <c r="J74" s="11">
        <f t="shared" si="57"/>
        <v>20049.3</v>
      </c>
      <c r="K74" s="11">
        <f t="shared" si="57"/>
        <v>22160.7148148148</v>
      </c>
      <c r="L74" s="11">
        <f t="shared" si="57"/>
        <v>26867.552173913</v>
      </c>
      <c r="M74" s="11">
        <f t="shared" si="57"/>
        <v>20863.596</v>
      </c>
      <c r="N74" s="24">
        <f t="shared" si="57"/>
        <v>17836.5418088901</v>
      </c>
      <c r="O74" s="24">
        <f t="shared" si="57"/>
        <v>17294.3714542581</v>
      </c>
      <c r="P74" s="24">
        <f t="shared" si="57"/>
        <v>22160.6177055133</v>
      </c>
      <c r="Q74" s="24">
        <f t="shared" si="57"/>
        <v>25350.0576242011</v>
      </c>
      <c r="R74" s="24">
        <f t="shared" si="57"/>
        <v>31098.3582377702</v>
      </c>
      <c r="S74" s="24">
        <f t="shared" si="57"/>
        <v>22502.6301584471</v>
      </c>
      <c r="T74" s="24">
        <f t="shared" si="57"/>
        <v>22042.5981646817</v>
      </c>
      <c r="U74" s="24">
        <f t="shared" si="57"/>
        <v>22055.9062780061</v>
      </c>
      <c r="V74" s="24">
        <f t="shared" si="57"/>
        <v>32199.302818879</v>
      </c>
      <c r="W74" s="24">
        <f t="shared" si="57"/>
        <v>31493.5726577589</v>
      </c>
      <c r="X74" s="24">
        <f t="shared" si="57"/>
        <v>35310.0249520031</v>
      </c>
      <c r="Y74" s="24">
        <f t="shared" si="57"/>
        <v>32064.5423337535</v>
      </c>
    </row>
    <row r="75" customHeight="1" spans="1:25">
      <c r="A75" s="34" t="s">
        <v>235</v>
      </c>
      <c r="B75" s="35">
        <f t="shared" ref="B75:Y75" si="58">B72/B50</f>
        <v>0.155024268572801</v>
      </c>
      <c r="C75" s="35">
        <f t="shared" si="58"/>
        <v>0.143615669999371</v>
      </c>
      <c r="D75" s="35">
        <f t="shared" si="58"/>
        <v>0.159767766128193</v>
      </c>
      <c r="E75" s="35">
        <f t="shared" si="58"/>
        <v>0.159705712838951</v>
      </c>
      <c r="F75" s="35">
        <f t="shared" si="58"/>
        <v>0.158801329774781</v>
      </c>
      <c r="G75" s="35">
        <f t="shared" si="58"/>
        <v>0.161474038421609</v>
      </c>
      <c r="H75" s="35">
        <f t="shared" si="58"/>
        <v>0.204836676077721</v>
      </c>
      <c r="I75" s="35">
        <f t="shared" si="58"/>
        <v>0.223860762945125</v>
      </c>
      <c r="J75" s="35">
        <f t="shared" si="58"/>
        <v>0.20202597308376</v>
      </c>
      <c r="K75" s="35">
        <f t="shared" si="58"/>
        <v>0.199192171166578</v>
      </c>
      <c r="L75" s="35">
        <f t="shared" si="58"/>
        <v>0.200713424034232</v>
      </c>
      <c r="M75" s="35">
        <f t="shared" si="58"/>
        <v>0.201995675365442</v>
      </c>
      <c r="N75" s="36">
        <f t="shared" si="58"/>
        <v>0.155024268572801</v>
      </c>
      <c r="O75" s="36">
        <f t="shared" si="58"/>
        <v>0.143615669999371</v>
      </c>
      <c r="P75" s="36">
        <f t="shared" si="58"/>
        <v>0.159767766128193</v>
      </c>
      <c r="Q75" s="36">
        <f t="shared" si="58"/>
        <v>0.159705712838951</v>
      </c>
      <c r="R75" s="36">
        <f t="shared" si="58"/>
        <v>0.158801329774781</v>
      </c>
      <c r="S75" s="36">
        <f t="shared" si="58"/>
        <v>0.161474038421609</v>
      </c>
      <c r="T75" s="36">
        <f t="shared" si="58"/>
        <v>0.204836676077721</v>
      </c>
      <c r="U75" s="36">
        <f t="shared" si="58"/>
        <v>0.223860762945125</v>
      </c>
      <c r="V75" s="36">
        <f t="shared" si="58"/>
        <v>0.20202597308376</v>
      </c>
      <c r="W75" s="36">
        <f t="shared" si="58"/>
        <v>0.199192171166578</v>
      </c>
      <c r="X75" s="36">
        <f t="shared" si="58"/>
        <v>0.200713424034232</v>
      </c>
      <c r="Y75" s="36">
        <f t="shared" si="58"/>
        <v>0.201995675365442</v>
      </c>
    </row>
    <row r="79" customHeight="1" spans="1:13">
      <c r="A79" s="7" t="s">
        <v>210</v>
      </c>
      <c r="B79" s="18" t="s">
        <v>213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customHeight="1" spans="1:38">
      <c r="A80" s="6" t="s">
        <v>212</v>
      </c>
      <c r="B80" s="9">
        <v>45658</v>
      </c>
      <c r="C80" s="9">
        <v>45689</v>
      </c>
      <c r="D80" s="9">
        <v>45717</v>
      </c>
      <c r="E80" s="9">
        <v>45748</v>
      </c>
      <c r="F80" s="9">
        <v>45778</v>
      </c>
      <c r="G80" s="9">
        <v>45809</v>
      </c>
      <c r="H80" s="9">
        <v>45839</v>
      </c>
      <c r="I80" s="9">
        <v>45870</v>
      </c>
      <c r="J80" s="9">
        <v>45901</v>
      </c>
      <c r="K80" s="9">
        <v>45931</v>
      </c>
      <c r="L80" s="9">
        <v>45962</v>
      </c>
      <c r="M80" s="9">
        <v>45992</v>
      </c>
      <c r="N80" s="9">
        <f t="shared" ref="N80:Y80" si="59">N6</f>
        <v>46023</v>
      </c>
      <c r="O80" s="9">
        <f t="shared" si="59"/>
        <v>46054</v>
      </c>
      <c r="P80" s="9">
        <f t="shared" si="59"/>
        <v>46082</v>
      </c>
      <c r="Q80" s="9">
        <f t="shared" si="59"/>
        <v>46113</v>
      </c>
      <c r="R80" s="9">
        <f t="shared" si="59"/>
        <v>46143</v>
      </c>
      <c r="S80" s="9">
        <f t="shared" si="59"/>
        <v>46174</v>
      </c>
      <c r="T80" s="9">
        <f t="shared" si="59"/>
        <v>46204</v>
      </c>
      <c r="U80" s="9">
        <f t="shared" si="59"/>
        <v>46235</v>
      </c>
      <c r="V80" s="9">
        <f t="shared" si="59"/>
        <v>46266</v>
      </c>
      <c r="W80" s="9">
        <f t="shared" si="59"/>
        <v>46296</v>
      </c>
      <c r="X80" s="9">
        <f t="shared" si="59"/>
        <v>46327</v>
      </c>
      <c r="Y80" s="9">
        <f t="shared" si="59"/>
        <v>46357</v>
      </c>
      <c r="AA80" s="9">
        <f t="shared" ref="AA80:AL80" si="60">B80</f>
        <v>45658</v>
      </c>
      <c r="AB80" s="9">
        <f t="shared" si="60"/>
        <v>45689</v>
      </c>
      <c r="AC80" s="9">
        <f t="shared" si="60"/>
        <v>45717</v>
      </c>
      <c r="AD80" s="9">
        <f t="shared" si="60"/>
        <v>45748</v>
      </c>
      <c r="AE80" s="9">
        <f t="shared" si="60"/>
        <v>45778</v>
      </c>
      <c r="AF80" s="9">
        <f t="shared" si="60"/>
        <v>45809</v>
      </c>
      <c r="AG80" s="9">
        <f t="shared" si="60"/>
        <v>45839</v>
      </c>
      <c r="AH80" s="9">
        <f t="shared" si="60"/>
        <v>45870</v>
      </c>
      <c r="AI80" s="9">
        <f t="shared" si="60"/>
        <v>45901</v>
      </c>
      <c r="AJ80" s="9">
        <f t="shared" si="60"/>
        <v>45931</v>
      </c>
      <c r="AK80" s="9">
        <f t="shared" si="60"/>
        <v>45962</v>
      </c>
      <c r="AL80" s="9">
        <f t="shared" si="60"/>
        <v>45992</v>
      </c>
    </row>
    <row r="81" customHeight="1" spans="1:38">
      <c r="A81" s="7" t="s">
        <v>211</v>
      </c>
      <c r="B81" s="11">
        <v>289765</v>
      </c>
      <c r="C81" s="11">
        <v>312615</v>
      </c>
      <c r="D81" s="11">
        <v>390064</v>
      </c>
      <c r="E81" s="11">
        <v>388117</v>
      </c>
      <c r="F81" s="11">
        <v>410216</v>
      </c>
      <c r="G81" s="11">
        <v>380404</v>
      </c>
      <c r="H81" s="11">
        <v>315840</v>
      </c>
      <c r="I81" s="11">
        <v>246034</v>
      </c>
      <c r="J81" s="11">
        <v>480118</v>
      </c>
      <c r="K81" s="11">
        <v>560460</v>
      </c>
      <c r="L81" s="11">
        <v>574744</v>
      </c>
      <c r="M81" s="11">
        <v>482818</v>
      </c>
      <c r="N81" s="24">
        <f t="shared" ref="N81:Y81" si="61">N$2/B$2*B81</f>
        <v>595253.266524589</v>
      </c>
      <c r="O81" s="24">
        <f t="shared" si="61"/>
        <v>582693.714954088</v>
      </c>
      <c r="P81" s="24">
        <f t="shared" si="61"/>
        <v>712368.641216666</v>
      </c>
      <c r="Q81" s="24">
        <f t="shared" si="61"/>
        <v>750860.52917247</v>
      </c>
      <c r="R81" s="24">
        <f t="shared" si="61"/>
        <v>848738.18229912</v>
      </c>
      <c r="S81" s="24">
        <f t="shared" si="61"/>
        <v>710136.386455611</v>
      </c>
      <c r="T81" s="24">
        <f t="shared" si="61"/>
        <v>519113.442818917</v>
      </c>
      <c r="U81" s="24">
        <f t="shared" si="61"/>
        <v>445987.930775128</v>
      </c>
      <c r="V81" s="24">
        <f t="shared" si="61"/>
        <v>771072.549704706</v>
      </c>
      <c r="W81" s="24">
        <f t="shared" si="61"/>
        <v>796494.511989641</v>
      </c>
      <c r="X81" s="24">
        <f t="shared" si="61"/>
        <v>788184.292034076</v>
      </c>
      <c r="Y81" s="24">
        <f t="shared" si="61"/>
        <v>742026.360196881</v>
      </c>
      <c r="AA81" s="32">
        <f t="shared" ref="AA81:AL81" si="62">B81/B$86</f>
        <v>0.586297040440767</v>
      </c>
      <c r="AB81" s="32">
        <f t="shared" si="62"/>
        <v>0.594281032394936</v>
      </c>
      <c r="AC81" s="32">
        <f t="shared" si="62"/>
        <v>0.583439033145866</v>
      </c>
      <c r="AD81" s="32">
        <f t="shared" si="62"/>
        <v>0.584064071174142</v>
      </c>
      <c r="AE81" s="32">
        <f t="shared" si="62"/>
        <v>0.585096732600398</v>
      </c>
      <c r="AF81" s="32">
        <f t="shared" si="62"/>
        <v>0.583736271830418</v>
      </c>
      <c r="AG81" s="32">
        <f t="shared" si="62"/>
        <v>0.55396239917074</v>
      </c>
      <c r="AH81" s="32">
        <f t="shared" si="62"/>
        <v>0.540753081427039</v>
      </c>
      <c r="AI81" s="32">
        <f t="shared" si="62"/>
        <v>0.556079583228129</v>
      </c>
      <c r="AJ81" s="32">
        <f t="shared" si="62"/>
        <v>0.558251000789874</v>
      </c>
      <c r="AK81" s="32">
        <f t="shared" si="62"/>
        <v>0.556604805977983</v>
      </c>
      <c r="AL81" s="32">
        <f t="shared" si="62"/>
        <v>0.554929412346144</v>
      </c>
    </row>
    <row r="82" customHeight="1" spans="1:38">
      <c r="A82" s="7" t="s">
        <v>213</v>
      </c>
      <c r="B82" s="13">
        <v>127847</v>
      </c>
      <c r="C82" s="13">
        <v>137876</v>
      </c>
      <c r="D82" s="13">
        <v>171681</v>
      </c>
      <c r="E82" s="13">
        <v>170269</v>
      </c>
      <c r="F82" s="13">
        <v>179554</v>
      </c>
      <c r="G82" s="13">
        <v>166039</v>
      </c>
      <c r="H82" s="13">
        <v>137520</v>
      </c>
      <c r="I82" s="13">
        <v>107097</v>
      </c>
      <c r="J82" s="13">
        <v>208851</v>
      </c>
      <c r="K82" s="13">
        <v>243516</v>
      </c>
      <c r="L82" s="13">
        <v>250591</v>
      </c>
      <c r="M82" s="13">
        <v>211488</v>
      </c>
      <c r="N82" s="24">
        <f t="shared" ref="N82:Y82" si="63">N$2/B$2*B82</f>
        <v>262631.250721685</v>
      </c>
      <c r="O82" s="24">
        <f t="shared" si="63"/>
        <v>256991.758690433</v>
      </c>
      <c r="P82" s="24">
        <f t="shared" si="63"/>
        <v>313538.703117228</v>
      </c>
      <c r="Q82" s="24">
        <f t="shared" si="63"/>
        <v>329406.522882706</v>
      </c>
      <c r="R82" s="24">
        <f t="shared" si="63"/>
        <v>371497.785519181</v>
      </c>
      <c r="S82" s="24">
        <f t="shared" si="63"/>
        <v>309960.819209848</v>
      </c>
      <c r="T82" s="24">
        <f t="shared" si="63"/>
        <v>226027.35770155</v>
      </c>
      <c r="U82" s="24">
        <f t="shared" si="63"/>
        <v>194135.645570221</v>
      </c>
      <c r="V82" s="24">
        <f t="shared" si="63"/>
        <v>335416.029139457</v>
      </c>
      <c r="W82" s="24">
        <f t="shared" si="63"/>
        <v>346071.365631213</v>
      </c>
      <c r="X82" s="24">
        <f t="shared" si="63"/>
        <v>343651.938819912</v>
      </c>
      <c r="Y82" s="24">
        <f t="shared" si="63"/>
        <v>325028.625414376</v>
      </c>
      <c r="AA82" s="32">
        <f t="shared" ref="AA82:AL82" si="64">B82/B$86</f>
        <v>0.258679680876679</v>
      </c>
      <c r="AB82" s="32">
        <f t="shared" si="64"/>
        <v>0.262102239567789</v>
      </c>
      <c r="AC82" s="32">
        <f t="shared" si="64"/>
        <v>0.25679221012325</v>
      </c>
      <c r="AD82" s="32">
        <f t="shared" si="64"/>
        <v>0.256232026256902</v>
      </c>
      <c r="AE82" s="32">
        <f t="shared" si="64"/>
        <v>0.256100344026883</v>
      </c>
      <c r="AF82" s="32">
        <f t="shared" si="64"/>
        <v>0.254789610094664</v>
      </c>
      <c r="AG82" s="32">
        <f t="shared" si="64"/>
        <v>0.241200953438324</v>
      </c>
      <c r="AH82" s="32">
        <f t="shared" si="64"/>
        <v>0.235386299298437</v>
      </c>
      <c r="AI82" s="32">
        <f t="shared" si="64"/>
        <v>0.241894236493483</v>
      </c>
      <c r="AJ82" s="32">
        <f t="shared" si="64"/>
        <v>0.242556205096433</v>
      </c>
      <c r="AK82" s="32">
        <f t="shared" si="64"/>
        <v>0.242682228844196</v>
      </c>
      <c r="AL82" s="32">
        <f t="shared" si="64"/>
        <v>0.243074847164483</v>
      </c>
    </row>
    <row r="83" customHeight="1" spans="1:38">
      <c r="A83" s="7" t="s">
        <v>214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2110</v>
      </c>
      <c r="H83" s="11">
        <v>2698</v>
      </c>
      <c r="I83" s="11">
        <v>2852</v>
      </c>
      <c r="J83" s="11">
        <v>6797</v>
      </c>
      <c r="K83" s="11">
        <v>9414</v>
      </c>
      <c r="L83" s="11">
        <v>11658</v>
      </c>
      <c r="M83" s="11">
        <v>11740</v>
      </c>
      <c r="N83" s="24">
        <f t="shared" ref="N83:Y83" si="65">N$2/B$2*B83</f>
        <v>0</v>
      </c>
      <c r="O83" s="24">
        <f t="shared" si="65"/>
        <v>0</v>
      </c>
      <c r="P83" s="24">
        <f t="shared" si="65"/>
        <v>0</v>
      </c>
      <c r="Q83" s="24">
        <f t="shared" si="65"/>
        <v>0</v>
      </c>
      <c r="R83" s="24">
        <f t="shared" si="65"/>
        <v>0</v>
      </c>
      <c r="S83" s="24">
        <f t="shared" si="65"/>
        <v>3938.93801174893</v>
      </c>
      <c r="T83" s="24">
        <f t="shared" si="65"/>
        <v>4434.42270999696</v>
      </c>
      <c r="U83" s="24">
        <f t="shared" si="65"/>
        <v>5169.84473109678</v>
      </c>
      <c r="V83" s="24">
        <f t="shared" si="65"/>
        <v>10916.0250612201</v>
      </c>
      <c r="W83" s="24">
        <f t="shared" si="65"/>
        <v>13378.6520641446</v>
      </c>
      <c r="X83" s="24">
        <f t="shared" si="65"/>
        <v>15987.3830375493</v>
      </c>
      <c r="Y83" s="24">
        <f t="shared" si="65"/>
        <v>18042.8017777121</v>
      </c>
      <c r="AA83" s="32">
        <f t="shared" ref="AA83:AL83" si="66">B83/B$86</f>
        <v>0</v>
      </c>
      <c r="AB83" s="32">
        <f t="shared" si="66"/>
        <v>0</v>
      </c>
      <c r="AC83" s="32">
        <f t="shared" si="66"/>
        <v>0</v>
      </c>
      <c r="AD83" s="32">
        <f t="shared" si="66"/>
        <v>0</v>
      </c>
      <c r="AE83" s="32">
        <f t="shared" si="66"/>
        <v>0</v>
      </c>
      <c r="AF83" s="32">
        <f t="shared" si="66"/>
        <v>0.00323783013207585</v>
      </c>
      <c r="AG83" s="32">
        <f t="shared" si="66"/>
        <v>0.00473211294631034</v>
      </c>
      <c r="AH83" s="32">
        <f t="shared" si="66"/>
        <v>0.00626835229370703</v>
      </c>
      <c r="AI83" s="32">
        <f t="shared" si="66"/>
        <v>0.00787238330410772</v>
      </c>
      <c r="AJ83" s="32">
        <f t="shared" si="66"/>
        <v>0.00937689562401577</v>
      </c>
      <c r="AK83" s="32">
        <f t="shared" si="66"/>
        <v>0.0112900679747702</v>
      </c>
      <c r="AL83" s="32">
        <f t="shared" si="66"/>
        <v>0.0134934308599591</v>
      </c>
    </row>
    <row r="84" customHeight="1" spans="1:38">
      <c r="A84" s="7" t="s">
        <v>215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29062</v>
      </c>
      <c r="I84" s="13">
        <v>33576</v>
      </c>
      <c r="J84" s="13">
        <v>44202</v>
      </c>
      <c r="K84" s="13">
        <v>49293</v>
      </c>
      <c r="L84" s="13">
        <v>50641</v>
      </c>
      <c r="M84" s="13">
        <v>42100</v>
      </c>
      <c r="N84" s="24">
        <f t="shared" ref="N84:Y84" si="67">N$2/B$2*B84</f>
        <v>0</v>
      </c>
      <c r="O84" s="24">
        <f t="shared" si="67"/>
        <v>0</v>
      </c>
      <c r="P84" s="24">
        <f t="shared" si="67"/>
        <v>0</v>
      </c>
      <c r="Q84" s="24">
        <f t="shared" si="67"/>
        <v>0</v>
      </c>
      <c r="R84" s="24">
        <f t="shared" si="67"/>
        <v>0</v>
      </c>
      <c r="S84" s="24">
        <f t="shared" si="67"/>
        <v>0</v>
      </c>
      <c r="T84" s="24">
        <f t="shared" si="67"/>
        <v>47766.1945136885</v>
      </c>
      <c r="U84" s="24">
        <f t="shared" si="67"/>
        <v>60863.5016449177</v>
      </c>
      <c r="V84" s="24">
        <f t="shared" si="67"/>
        <v>70988.6920341404</v>
      </c>
      <c r="W84" s="24">
        <f t="shared" si="67"/>
        <v>70052.4640108222</v>
      </c>
      <c r="X84" s="24">
        <f t="shared" si="67"/>
        <v>69447.33782849</v>
      </c>
      <c r="Y84" s="24">
        <f t="shared" si="67"/>
        <v>64702.0404464802</v>
      </c>
      <c r="AA84" s="32">
        <f t="shared" ref="AA84:AL84" si="68">B84/B$86</f>
        <v>0</v>
      </c>
      <c r="AB84" s="32">
        <f t="shared" si="68"/>
        <v>0</v>
      </c>
      <c r="AC84" s="32">
        <f t="shared" si="68"/>
        <v>0</v>
      </c>
      <c r="AD84" s="32">
        <f t="shared" si="68"/>
        <v>0</v>
      </c>
      <c r="AE84" s="32">
        <f t="shared" si="68"/>
        <v>0</v>
      </c>
      <c r="AF84" s="32">
        <f t="shared" si="68"/>
        <v>0</v>
      </c>
      <c r="AG84" s="32">
        <f t="shared" si="68"/>
        <v>0.0509728192904637</v>
      </c>
      <c r="AH84" s="32">
        <f t="shared" si="68"/>
        <v>0.0737960016176393</v>
      </c>
      <c r="AI84" s="32">
        <f t="shared" si="68"/>
        <v>0.0511953930863866</v>
      </c>
      <c r="AJ84" s="32">
        <f t="shared" si="68"/>
        <v>0.0490987163792872</v>
      </c>
      <c r="AK84" s="32">
        <f t="shared" si="68"/>
        <v>0.0490427459521649</v>
      </c>
      <c r="AL84" s="32">
        <f t="shared" si="68"/>
        <v>0.0483878568317102</v>
      </c>
    </row>
    <row r="85" customHeight="1" spans="1:38">
      <c r="A85" s="7" t="s">
        <v>216</v>
      </c>
      <c r="B85" s="11">
        <v>76618</v>
      </c>
      <c r="C85" s="11">
        <v>75548</v>
      </c>
      <c r="D85" s="11">
        <v>106814</v>
      </c>
      <c r="E85" s="11">
        <v>106126</v>
      </c>
      <c r="F85" s="11">
        <v>111337</v>
      </c>
      <c r="G85" s="11">
        <v>103118</v>
      </c>
      <c r="H85" s="11">
        <v>85027</v>
      </c>
      <c r="I85" s="11">
        <v>65425</v>
      </c>
      <c r="J85" s="11">
        <v>123431</v>
      </c>
      <c r="K85" s="11">
        <v>141273</v>
      </c>
      <c r="L85" s="11">
        <v>144956</v>
      </c>
      <c r="M85" s="11">
        <v>121907</v>
      </c>
      <c r="N85" s="24">
        <f t="shared" ref="N85:Y85" si="69">N$2/B$2*B85</f>
        <v>157393.455988753</v>
      </c>
      <c r="O85" s="24">
        <f t="shared" si="69"/>
        <v>140816.482821846</v>
      </c>
      <c r="P85" s="24">
        <f t="shared" si="69"/>
        <v>195072.972750413</v>
      </c>
      <c r="Q85" s="24">
        <f t="shared" si="69"/>
        <v>205313.924715891</v>
      </c>
      <c r="R85" s="24">
        <f t="shared" si="69"/>
        <v>230356.599944023</v>
      </c>
      <c r="S85" s="24">
        <f t="shared" si="69"/>
        <v>192500.194263282</v>
      </c>
      <c r="T85" s="24">
        <f t="shared" si="69"/>
        <v>139750.059215312</v>
      </c>
      <c r="U85" s="24">
        <f t="shared" si="69"/>
        <v>118596.455656384</v>
      </c>
      <c r="V85" s="24">
        <f t="shared" si="69"/>
        <v>198230.967975793</v>
      </c>
      <c r="W85" s="24">
        <f t="shared" si="69"/>
        <v>200769.313050552</v>
      </c>
      <c r="X85" s="24">
        <f t="shared" si="69"/>
        <v>198787.707633471</v>
      </c>
      <c r="Y85" s="24">
        <f t="shared" si="69"/>
        <v>187354.670895702</v>
      </c>
      <c r="AA85" s="32">
        <f t="shared" ref="AA85:AL85" si="70">B85/B$86</f>
        <v>0.155025302036101</v>
      </c>
      <c r="AB85" s="32">
        <f t="shared" si="70"/>
        <v>0.143616728037275</v>
      </c>
      <c r="AC85" s="32">
        <f t="shared" si="70"/>
        <v>0.15976726097882</v>
      </c>
      <c r="AD85" s="32">
        <f t="shared" si="70"/>
        <v>0.159705407434941</v>
      </c>
      <c r="AE85" s="32">
        <f t="shared" si="70"/>
        <v>0.158801497058941</v>
      </c>
      <c r="AF85" s="32">
        <f t="shared" si="70"/>
        <v>0.158236287942842</v>
      </c>
      <c r="AG85" s="32">
        <f t="shared" si="70"/>
        <v>0.149131715154162</v>
      </c>
      <c r="AH85" s="32">
        <f t="shared" si="70"/>
        <v>0.143796265363178</v>
      </c>
      <c r="AI85" s="32">
        <f t="shared" si="70"/>
        <v>0.142959562102298</v>
      </c>
      <c r="AJ85" s="32">
        <f t="shared" si="70"/>
        <v>0.140716186051793</v>
      </c>
      <c r="AK85" s="32">
        <f t="shared" si="70"/>
        <v>0.140381119690409</v>
      </c>
      <c r="AL85" s="32">
        <f t="shared" si="70"/>
        <v>0.140114452797703</v>
      </c>
    </row>
    <row r="86" customHeight="1" spans="1:38">
      <c r="A86" s="19" t="s">
        <v>217</v>
      </c>
      <c r="B86" s="20" t="s">
        <v>236</v>
      </c>
      <c r="C86" s="20" t="s">
        <v>237</v>
      </c>
      <c r="D86" s="20" t="s">
        <v>238</v>
      </c>
      <c r="E86" s="20" t="s">
        <v>239</v>
      </c>
      <c r="F86" s="20" t="s">
        <v>240</v>
      </c>
      <c r="G86" s="20" t="s">
        <v>241</v>
      </c>
      <c r="H86" s="20" t="s">
        <v>242</v>
      </c>
      <c r="I86" s="20" t="s">
        <v>243</v>
      </c>
      <c r="J86" s="20" t="s">
        <v>244</v>
      </c>
      <c r="K86" s="20" t="s">
        <v>245</v>
      </c>
      <c r="L86" s="20" t="s">
        <v>246</v>
      </c>
      <c r="M86" s="20" t="s">
        <v>247</v>
      </c>
      <c r="N86" s="24">
        <f t="shared" ref="N86:Y86" si="71">N$2/B$2*B86</f>
        <v>1015275.9189729</v>
      </c>
      <c r="O86" s="24">
        <f t="shared" si="71"/>
        <v>980501.956466368</v>
      </c>
      <c r="P86" s="24">
        <f t="shared" si="71"/>
        <v>1220982.14337087</v>
      </c>
      <c r="Q86" s="24">
        <f t="shared" si="71"/>
        <v>1285579.0421469</v>
      </c>
      <c r="R86" s="24">
        <f t="shared" si="71"/>
        <v>1450594.63676544</v>
      </c>
      <c r="S86" s="24">
        <f t="shared" si="71"/>
        <v>1216536.33794049</v>
      </c>
      <c r="T86" s="24">
        <f t="shared" si="71"/>
        <v>937091.476959464</v>
      </c>
      <c r="U86" s="24">
        <f t="shared" si="71"/>
        <v>824753.378377748</v>
      </c>
      <c r="V86" s="24">
        <f t="shared" si="71"/>
        <v>1386622.65790898</v>
      </c>
      <c r="W86" s="24">
        <f t="shared" si="71"/>
        <v>1426767.72789063</v>
      </c>
      <c r="X86" s="24">
        <f t="shared" si="71"/>
        <v>1416057.28798765</v>
      </c>
      <c r="Y86" s="24">
        <f t="shared" si="71"/>
        <v>1337154.49873115</v>
      </c>
      <c r="AA86" s="32">
        <f t="shared" ref="AA86:AL86" si="72">B86/B$86</f>
        <v>1</v>
      </c>
      <c r="AB86" s="32">
        <f t="shared" si="72"/>
        <v>1</v>
      </c>
      <c r="AC86" s="32">
        <f t="shared" si="72"/>
        <v>1</v>
      </c>
      <c r="AD86" s="32">
        <f t="shared" si="72"/>
        <v>1</v>
      </c>
      <c r="AE86" s="32">
        <f t="shared" si="72"/>
        <v>1</v>
      </c>
      <c r="AF86" s="32">
        <f t="shared" si="72"/>
        <v>1</v>
      </c>
      <c r="AG86" s="32">
        <f t="shared" si="72"/>
        <v>1</v>
      </c>
      <c r="AH86" s="32">
        <f t="shared" si="72"/>
        <v>1</v>
      </c>
      <c r="AI86" s="32">
        <f t="shared" si="72"/>
        <v>1</v>
      </c>
      <c r="AJ86" s="32">
        <f t="shared" si="72"/>
        <v>1</v>
      </c>
      <c r="AK86" s="32">
        <f t="shared" si="72"/>
        <v>1</v>
      </c>
      <c r="AL86" s="32">
        <f t="shared" si="72"/>
        <v>1</v>
      </c>
    </row>
    <row r="88" customHeight="1" spans="1:25">
      <c r="A88" s="8" t="s">
        <v>207</v>
      </c>
      <c r="B88" s="17">
        <v>26</v>
      </c>
      <c r="C88" s="17">
        <v>24</v>
      </c>
      <c r="D88" s="17">
        <v>26</v>
      </c>
      <c r="E88" s="17">
        <v>24</v>
      </c>
      <c r="F88" s="17">
        <v>24</v>
      </c>
      <c r="G88" s="17">
        <v>24</v>
      </c>
      <c r="H88" s="17">
        <v>26</v>
      </c>
      <c r="I88" s="17">
        <v>25</v>
      </c>
      <c r="J88" s="17">
        <v>26</v>
      </c>
      <c r="K88" s="17">
        <v>27</v>
      </c>
      <c r="L88" s="17">
        <v>23</v>
      </c>
      <c r="M88" s="17">
        <v>25</v>
      </c>
      <c r="N88" s="25">
        <f t="shared" ref="N88:Y88" si="73">N13</f>
        <v>26</v>
      </c>
      <c r="O88" s="25">
        <f t="shared" si="73"/>
        <v>24</v>
      </c>
      <c r="P88" s="25">
        <f t="shared" si="73"/>
        <v>26</v>
      </c>
      <c r="Q88" s="25">
        <f t="shared" si="73"/>
        <v>24</v>
      </c>
      <c r="R88" s="25">
        <f t="shared" si="73"/>
        <v>22</v>
      </c>
      <c r="S88" s="25">
        <f t="shared" si="73"/>
        <v>26</v>
      </c>
      <c r="T88" s="25">
        <f t="shared" si="73"/>
        <v>26</v>
      </c>
      <c r="U88" s="25">
        <f t="shared" si="73"/>
        <v>25</v>
      </c>
      <c r="V88" s="25">
        <f t="shared" si="73"/>
        <v>26</v>
      </c>
      <c r="W88" s="25">
        <f t="shared" si="73"/>
        <v>27</v>
      </c>
      <c r="X88" s="25">
        <f t="shared" si="73"/>
        <v>24</v>
      </c>
      <c r="Y88" s="25">
        <f t="shared" si="73"/>
        <v>25</v>
      </c>
    </row>
    <row r="89" customHeight="1" spans="1:25">
      <c r="A89" s="10" t="s">
        <v>211</v>
      </c>
      <c r="B89" s="11">
        <f t="shared" ref="B89:Y89" si="74">B81/B$88</f>
        <v>11144.8076923077</v>
      </c>
      <c r="C89" s="11">
        <f t="shared" si="74"/>
        <v>13025.625</v>
      </c>
      <c r="D89" s="11">
        <f t="shared" si="74"/>
        <v>15002.4615384615</v>
      </c>
      <c r="E89" s="11">
        <f t="shared" si="74"/>
        <v>16171.5416666667</v>
      </c>
      <c r="F89" s="11">
        <f t="shared" si="74"/>
        <v>17092.3333333333</v>
      </c>
      <c r="G89" s="11">
        <f t="shared" si="74"/>
        <v>15850.1666666667</v>
      </c>
      <c r="H89" s="11">
        <f t="shared" si="74"/>
        <v>12147.6923076923</v>
      </c>
      <c r="I89" s="11">
        <f t="shared" si="74"/>
        <v>9841.36</v>
      </c>
      <c r="J89" s="11">
        <f t="shared" si="74"/>
        <v>18466.0769230769</v>
      </c>
      <c r="K89" s="11">
        <f t="shared" si="74"/>
        <v>20757.7777777778</v>
      </c>
      <c r="L89" s="11">
        <f t="shared" si="74"/>
        <v>24988.8695652174</v>
      </c>
      <c r="M89" s="11">
        <f t="shared" si="74"/>
        <v>19312.72</v>
      </c>
      <c r="N89" s="24">
        <f t="shared" si="74"/>
        <v>22894.3564047919</v>
      </c>
      <c r="O89" s="24">
        <f t="shared" si="74"/>
        <v>24278.9047897537</v>
      </c>
      <c r="P89" s="24">
        <f t="shared" si="74"/>
        <v>27398.7938929487</v>
      </c>
      <c r="Q89" s="24">
        <f t="shared" si="74"/>
        <v>31285.8553821862</v>
      </c>
      <c r="R89" s="24">
        <f t="shared" si="74"/>
        <v>38579.0082863236</v>
      </c>
      <c r="S89" s="24">
        <f t="shared" si="74"/>
        <v>27312.9379406004</v>
      </c>
      <c r="T89" s="24">
        <f t="shared" si="74"/>
        <v>19965.9016468814</v>
      </c>
      <c r="U89" s="24">
        <f t="shared" si="74"/>
        <v>17839.5172310051</v>
      </c>
      <c r="V89" s="24">
        <f t="shared" si="74"/>
        <v>29656.6365271041</v>
      </c>
      <c r="W89" s="24">
        <f t="shared" si="74"/>
        <v>29499.7967403571</v>
      </c>
      <c r="X89" s="24">
        <f t="shared" si="74"/>
        <v>32841.0121680865</v>
      </c>
      <c r="Y89" s="24">
        <f t="shared" si="74"/>
        <v>29681.0544078752</v>
      </c>
    </row>
    <row r="90" customHeight="1" spans="1:25">
      <c r="A90" s="12" t="s">
        <v>213</v>
      </c>
      <c r="B90" s="11">
        <f t="shared" ref="B90:Y90" si="75">B82/B$88</f>
        <v>4917.19230769231</v>
      </c>
      <c r="C90" s="11">
        <f t="shared" si="75"/>
        <v>5744.83333333333</v>
      </c>
      <c r="D90" s="11">
        <f t="shared" si="75"/>
        <v>6603.11538461538</v>
      </c>
      <c r="E90" s="11">
        <f t="shared" si="75"/>
        <v>7094.54166666667</v>
      </c>
      <c r="F90" s="11">
        <f t="shared" si="75"/>
        <v>7481.41666666667</v>
      </c>
      <c r="G90" s="11">
        <f t="shared" si="75"/>
        <v>6918.29166666667</v>
      </c>
      <c r="H90" s="11">
        <f t="shared" si="75"/>
        <v>5289.23076923077</v>
      </c>
      <c r="I90" s="11">
        <f t="shared" si="75"/>
        <v>4283.88</v>
      </c>
      <c r="J90" s="11">
        <f t="shared" si="75"/>
        <v>8032.73076923077</v>
      </c>
      <c r="K90" s="11">
        <f t="shared" si="75"/>
        <v>9019.11111111111</v>
      </c>
      <c r="L90" s="11">
        <f t="shared" si="75"/>
        <v>10895.2608695652</v>
      </c>
      <c r="M90" s="11">
        <f t="shared" si="75"/>
        <v>8459.52</v>
      </c>
      <c r="N90" s="24">
        <f t="shared" si="75"/>
        <v>10101.2019508341</v>
      </c>
      <c r="O90" s="24">
        <f t="shared" si="75"/>
        <v>10707.9899454347</v>
      </c>
      <c r="P90" s="24">
        <f t="shared" si="75"/>
        <v>12059.1808891241</v>
      </c>
      <c r="Q90" s="24">
        <f t="shared" si="75"/>
        <v>13725.2717867794</v>
      </c>
      <c r="R90" s="24">
        <f t="shared" si="75"/>
        <v>16886.2629781446</v>
      </c>
      <c r="S90" s="24">
        <f t="shared" si="75"/>
        <v>11921.5699696096</v>
      </c>
      <c r="T90" s="24">
        <f t="shared" si="75"/>
        <v>8693.35991159807</v>
      </c>
      <c r="U90" s="24">
        <f t="shared" si="75"/>
        <v>7765.42582280886</v>
      </c>
      <c r="V90" s="24">
        <f t="shared" si="75"/>
        <v>12900.6165053637</v>
      </c>
      <c r="W90" s="24">
        <f t="shared" si="75"/>
        <v>12817.4579863412</v>
      </c>
      <c r="X90" s="24">
        <f t="shared" si="75"/>
        <v>14318.830784163</v>
      </c>
      <c r="Y90" s="24">
        <f t="shared" si="75"/>
        <v>13001.145016575</v>
      </c>
    </row>
    <row r="91" customHeight="1" spans="1:25">
      <c r="A91" s="10" t="s">
        <v>214</v>
      </c>
      <c r="B91" s="11">
        <f t="shared" ref="B91:Y91" si="76">B83/B$88</f>
        <v>0</v>
      </c>
      <c r="C91" s="11">
        <f t="shared" si="76"/>
        <v>0</v>
      </c>
      <c r="D91" s="11">
        <f t="shared" si="76"/>
        <v>0</v>
      </c>
      <c r="E91" s="11">
        <f t="shared" si="76"/>
        <v>0</v>
      </c>
      <c r="F91" s="11">
        <f t="shared" si="76"/>
        <v>0</v>
      </c>
      <c r="G91" s="11">
        <f t="shared" si="76"/>
        <v>87.9166666666667</v>
      </c>
      <c r="H91" s="11">
        <f t="shared" si="76"/>
        <v>103.769230769231</v>
      </c>
      <c r="I91" s="11">
        <f t="shared" si="76"/>
        <v>114.08</v>
      </c>
      <c r="J91" s="11">
        <f t="shared" si="76"/>
        <v>261.423076923077</v>
      </c>
      <c r="K91" s="11">
        <f t="shared" si="76"/>
        <v>348.666666666667</v>
      </c>
      <c r="L91" s="11">
        <f t="shared" si="76"/>
        <v>506.869565217391</v>
      </c>
      <c r="M91" s="11">
        <f t="shared" si="76"/>
        <v>469.6</v>
      </c>
      <c r="N91" s="24">
        <f t="shared" si="76"/>
        <v>0</v>
      </c>
      <c r="O91" s="24">
        <f t="shared" si="76"/>
        <v>0</v>
      </c>
      <c r="P91" s="24">
        <f t="shared" si="76"/>
        <v>0</v>
      </c>
      <c r="Q91" s="24">
        <f t="shared" si="76"/>
        <v>0</v>
      </c>
      <c r="R91" s="24">
        <f t="shared" si="76"/>
        <v>0</v>
      </c>
      <c r="S91" s="24">
        <f t="shared" si="76"/>
        <v>151.497615836497</v>
      </c>
      <c r="T91" s="24">
        <f t="shared" si="76"/>
        <v>170.554719615268</v>
      </c>
      <c r="U91" s="24">
        <f t="shared" si="76"/>
        <v>206.793789243871</v>
      </c>
      <c r="V91" s="24">
        <f t="shared" si="76"/>
        <v>419.847117739236</v>
      </c>
      <c r="W91" s="24">
        <f t="shared" si="76"/>
        <v>495.505632005355</v>
      </c>
      <c r="X91" s="24">
        <f t="shared" si="76"/>
        <v>666.14095989789</v>
      </c>
      <c r="Y91" s="24">
        <f t="shared" si="76"/>
        <v>721.712071108483</v>
      </c>
    </row>
    <row r="92" customHeight="1" spans="1:25">
      <c r="A92" s="12" t="s">
        <v>215</v>
      </c>
      <c r="B92" s="11">
        <f t="shared" ref="B92:Y92" si="77">B84/B$88</f>
        <v>0</v>
      </c>
      <c r="C92" s="11">
        <f t="shared" si="77"/>
        <v>0</v>
      </c>
      <c r="D92" s="11">
        <f t="shared" si="77"/>
        <v>0</v>
      </c>
      <c r="E92" s="11">
        <f t="shared" si="77"/>
        <v>0</v>
      </c>
      <c r="F92" s="11">
        <f t="shared" si="77"/>
        <v>0</v>
      </c>
      <c r="G92" s="11">
        <f t="shared" si="77"/>
        <v>0</v>
      </c>
      <c r="H92" s="11">
        <f t="shared" si="77"/>
        <v>1117.76923076923</v>
      </c>
      <c r="I92" s="11">
        <f t="shared" si="77"/>
        <v>1343.04</v>
      </c>
      <c r="J92" s="11">
        <f t="shared" si="77"/>
        <v>1700.07692307692</v>
      </c>
      <c r="K92" s="11">
        <f t="shared" si="77"/>
        <v>1825.66666666667</v>
      </c>
      <c r="L92" s="11">
        <f t="shared" si="77"/>
        <v>2201.78260869565</v>
      </c>
      <c r="M92" s="11">
        <f t="shared" si="77"/>
        <v>1684</v>
      </c>
      <c r="N92" s="24">
        <f t="shared" si="77"/>
        <v>0</v>
      </c>
      <c r="O92" s="24">
        <f t="shared" si="77"/>
        <v>0</v>
      </c>
      <c r="P92" s="24">
        <f t="shared" si="77"/>
        <v>0</v>
      </c>
      <c r="Q92" s="24">
        <f t="shared" si="77"/>
        <v>0</v>
      </c>
      <c r="R92" s="24">
        <f t="shared" si="77"/>
        <v>0</v>
      </c>
      <c r="S92" s="24">
        <f t="shared" si="77"/>
        <v>0</v>
      </c>
      <c r="T92" s="24">
        <f t="shared" si="77"/>
        <v>1837.16132744956</v>
      </c>
      <c r="U92" s="24">
        <f t="shared" si="77"/>
        <v>2434.54006579671</v>
      </c>
      <c r="V92" s="24">
        <f t="shared" si="77"/>
        <v>2730.3343090054</v>
      </c>
      <c r="W92" s="24">
        <f t="shared" si="77"/>
        <v>2594.53570410452</v>
      </c>
      <c r="X92" s="24">
        <f t="shared" si="77"/>
        <v>2893.63907618708</v>
      </c>
      <c r="Y92" s="24">
        <f t="shared" si="77"/>
        <v>2588.08161785921</v>
      </c>
    </row>
    <row r="93" customHeight="1" spans="1:25">
      <c r="A93" s="10" t="s">
        <v>216</v>
      </c>
      <c r="B93" s="11">
        <f t="shared" ref="B93:Y93" si="78">B85/B$88</f>
        <v>2946.84615384615</v>
      </c>
      <c r="C93" s="11">
        <f t="shared" si="78"/>
        <v>3147.83333333333</v>
      </c>
      <c r="D93" s="11">
        <f t="shared" si="78"/>
        <v>4108.23076923077</v>
      </c>
      <c r="E93" s="11">
        <f t="shared" si="78"/>
        <v>4421.91666666667</v>
      </c>
      <c r="F93" s="11">
        <f t="shared" si="78"/>
        <v>4639.04166666667</v>
      </c>
      <c r="G93" s="11">
        <f t="shared" si="78"/>
        <v>4296.58333333333</v>
      </c>
      <c r="H93" s="11">
        <f t="shared" si="78"/>
        <v>3270.26923076923</v>
      </c>
      <c r="I93" s="11">
        <f t="shared" si="78"/>
        <v>2617</v>
      </c>
      <c r="J93" s="11">
        <f t="shared" si="78"/>
        <v>4747.34615384615</v>
      </c>
      <c r="K93" s="11">
        <f t="shared" si="78"/>
        <v>5232.33333333333</v>
      </c>
      <c r="L93" s="11">
        <f t="shared" si="78"/>
        <v>6302.4347826087</v>
      </c>
      <c r="M93" s="11">
        <f t="shared" si="78"/>
        <v>4876.28</v>
      </c>
      <c r="N93" s="24">
        <f t="shared" si="78"/>
        <v>6053.59446110588</v>
      </c>
      <c r="O93" s="24">
        <f t="shared" si="78"/>
        <v>5867.35345091026</v>
      </c>
      <c r="P93" s="24">
        <f t="shared" si="78"/>
        <v>7502.80664424664</v>
      </c>
      <c r="Q93" s="24">
        <f t="shared" si="78"/>
        <v>8554.74686316213</v>
      </c>
      <c r="R93" s="24">
        <f t="shared" si="78"/>
        <v>10470.7545429101</v>
      </c>
      <c r="S93" s="24">
        <f t="shared" si="78"/>
        <v>7403.85362551086</v>
      </c>
      <c r="T93" s="24">
        <f t="shared" si="78"/>
        <v>5375.00227751199</v>
      </c>
      <c r="U93" s="24">
        <f t="shared" si="78"/>
        <v>4743.85822625535</v>
      </c>
      <c r="V93" s="24">
        <f t="shared" si="78"/>
        <v>7624.26799906895</v>
      </c>
      <c r="W93" s="24">
        <f t="shared" si="78"/>
        <v>7435.90048335379</v>
      </c>
      <c r="X93" s="24">
        <f t="shared" si="78"/>
        <v>8282.82115139462</v>
      </c>
      <c r="Y93" s="24">
        <f t="shared" si="78"/>
        <v>7494.18683582809</v>
      </c>
    </row>
    <row r="94" customHeight="1" spans="1:25">
      <c r="A94" s="19" t="s">
        <v>217</v>
      </c>
      <c r="B94" s="20">
        <f t="shared" ref="B94:Y94" si="79">SUM(B89:B93)</f>
        <v>19008.8461538462</v>
      </c>
      <c r="C94" s="20">
        <f t="shared" si="79"/>
        <v>21918.2916666667</v>
      </c>
      <c r="D94" s="20">
        <f t="shared" si="79"/>
        <v>25713.8076923077</v>
      </c>
      <c r="E94" s="20">
        <f t="shared" si="79"/>
        <v>27688</v>
      </c>
      <c r="F94" s="20">
        <f t="shared" si="79"/>
        <v>29212.7916666667</v>
      </c>
      <c r="G94" s="20">
        <f t="shared" si="79"/>
        <v>27152.9583333333</v>
      </c>
      <c r="H94" s="20">
        <f t="shared" si="79"/>
        <v>21928.7307692308</v>
      </c>
      <c r="I94" s="20">
        <f t="shared" si="79"/>
        <v>18199.36</v>
      </c>
      <c r="J94" s="20">
        <f t="shared" si="79"/>
        <v>33207.6538461538</v>
      </c>
      <c r="K94" s="20">
        <f t="shared" si="79"/>
        <v>37183.5555555556</v>
      </c>
      <c r="L94" s="20">
        <f t="shared" si="79"/>
        <v>44895.2173913043</v>
      </c>
      <c r="M94" s="20">
        <f t="shared" si="79"/>
        <v>34802.12</v>
      </c>
      <c r="N94" s="28">
        <f t="shared" si="79"/>
        <v>39049.1528167318</v>
      </c>
      <c r="O94" s="28">
        <f t="shared" si="79"/>
        <v>40854.2481860986</v>
      </c>
      <c r="P94" s="28">
        <f t="shared" si="79"/>
        <v>46960.7814263195</v>
      </c>
      <c r="Q94" s="28">
        <f t="shared" si="79"/>
        <v>53565.8740321278</v>
      </c>
      <c r="R94" s="28">
        <f t="shared" si="79"/>
        <v>65936.0258073783</v>
      </c>
      <c r="S94" s="28">
        <f t="shared" si="79"/>
        <v>46789.8591515573</v>
      </c>
      <c r="T94" s="28">
        <f t="shared" si="79"/>
        <v>36041.9798830563</v>
      </c>
      <c r="U94" s="28">
        <f t="shared" si="79"/>
        <v>32990.1351351099</v>
      </c>
      <c r="V94" s="28">
        <f t="shared" si="79"/>
        <v>53331.7024582814</v>
      </c>
      <c r="W94" s="28">
        <f t="shared" si="79"/>
        <v>52843.196546162</v>
      </c>
      <c r="X94" s="28">
        <f t="shared" si="79"/>
        <v>59002.4441397291</v>
      </c>
      <c r="Y94" s="28">
        <f t="shared" si="79"/>
        <v>53486.1799492461</v>
      </c>
    </row>
    <row r="95" customHeight="1" spans="1:39">
      <c r="A95" s="21" t="s">
        <v>248</v>
      </c>
      <c r="B95" s="22">
        <f t="shared" ref="B95:Y95" si="80">B90/B94</f>
        <v>0.258679157477288</v>
      </c>
      <c r="C95" s="22">
        <f t="shared" si="80"/>
        <v>0.262102239567789</v>
      </c>
      <c r="D95" s="22">
        <f t="shared" si="80"/>
        <v>0.256792594221303</v>
      </c>
      <c r="E95" s="22">
        <f t="shared" si="80"/>
        <v>0.256231640662622</v>
      </c>
      <c r="F95" s="22">
        <f t="shared" si="80"/>
        <v>0.256100709306853</v>
      </c>
      <c r="G95" s="22">
        <f t="shared" si="80"/>
        <v>0.254789610094664</v>
      </c>
      <c r="H95" s="22">
        <f t="shared" si="80"/>
        <v>0.241200953438324</v>
      </c>
      <c r="I95" s="22">
        <f t="shared" si="80"/>
        <v>0.235386299298437</v>
      </c>
      <c r="J95" s="22">
        <f t="shared" si="80"/>
        <v>0.241893956328418</v>
      </c>
      <c r="K95" s="22">
        <f t="shared" si="80"/>
        <v>0.242556446696867</v>
      </c>
      <c r="L95" s="22">
        <f t="shared" si="80"/>
        <v>0.242681993821362</v>
      </c>
      <c r="M95" s="22">
        <f t="shared" si="80"/>
        <v>0.243074847164483</v>
      </c>
      <c r="N95" s="29">
        <f t="shared" si="80"/>
        <v>0.258679157477288</v>
      </c>
      <c r="O95" s="29">
        <f t="shared" si="80"/>
        <v>0.262102239567789</v>
      </c>
      <c r="P95" s="29">
        <f t="shared" si="80"/>
        <v>0.256792594221303</v>
      </c>
      <c r="Q95" s="29">
        <f t="shared" si="80"/>
        <v>0.256231640662622</v>
      </c>
      <c r="R95" s="29">
        <f t="shared" si="80"/>
        <v>0.256100709306853</v>
      </c>
      <c r="S95" s="29">
        <f t="shared" si="80"/>
        <v>0.254789610094664</v>
      </c>
      <c r="T95" s="29">
        <f t="shared" si="80"/>
        <v>0.241200953438324</v>
      </c>
      <c r="U95" s="29">
        <f t="shared" si="80"/>
        <v>0.235386299298437</v>
      </c>
      <c r="V95" s="29">
        <f t="shared" si="80"/>
        <v>0.241893956328418</v>
      </c>
      <c r="W95" s="29">
        <f t="shared" si="80"/>
        <v>0.242556446696867</v>
      </c>
      <c r="X95" s="29">
        <f t="shared" si="80"/>
        <v>0.242681993821362</v>
      </c>
      <c r="Y95" s="29">
        <f t="shared" si="80"/>
        <v>0.243074847164483</v>
      </c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</row>
    <row r="96" customHeight="1" spans="1:25">
      <c r="A96" s="21" t="s">
        <v>249</v>
      </c>
      <c r="B96" s="22">
        <f t="shared" ref="B96:Y96" si="81">B89/B94</f>
        <v>0.586295854156971</v>
      </c>
      <c r="C96" s="22">
        <f t="shared" si="81"/>
        <v>0.594281032394937</v>
      </c>
      <c r="D96" s="22">
        <f t="shared" si="81"/>
        <v>0.583439905827309</v>
      </c>
      <c r="E96" s="22">
        <f t="shared" si="81"/>
        <v>0.584063192237311</v>
      </c>
      <c r="F96" s="22">
        <f t="shared" si="81"/>
        <v>0.585097567133119</v>
      </c>
      <c r="G96" s="22">
        <f t="shared" si="81"/>
        <v>0.583736271830418</v>
      </c>
      <c r="H96" s="22">
        <f t="shared" si="81"/>
        <v>0.55396239917074</v>
      </c>
      <c r="I96" s="22">
        <f t="shared" si="81"/>
        <v>0.540753081427039</v>
      </c>
      <c r="J96" s="22">
        <f t="shared" si="81"/>
        <v>0.556078939169492</v>
      </c>
      <c r="K96" s="22">
        <f t="shared" si="81"/>
        <v>0.558251556841136</v>
      </c>
      <c r="L96" s="22">
        <f t="shared" si="81"/>
        <v>0.556604266940412</v>
      </c>
      <c r="M96" s="22">
        <f t="shared" si="81"/>
        <v>0.554929412346144</v>
      </c>
      <c r="N96" s="29">
        <f t="shared" si="81"/>
        <v>0.586295854156971</v>
      </c>
      <c r="O96" s="29">
        <f t="shared" si="81"/>
        <v>0.594281032394937</v>
      </c>
      <c r="P96" s="29">
        <f t="shared" si="81"/>
        <v>0.583439905827309</v>
      </c>
      <c r="Q96" s="29">
        <f t="shared" si="81"/>
        <v>0.584063192237311</v>
      </c>
      <c r="R96" s="29">
        <f t="shared" si="81"/>
        <v>0.58509756713312</v>
      </c>
      <c r="S96" s="29">
        <f t="shared" si="81"/>
        <v>0.583736271830418</v>
      </c>
      <c r="T96" s="29">
        <f t="shared" si="81"/>
        <v>0.55396239917074</v>
      </c>
      <c r="U96" s="29">
        <f t="shared" si="81"/>
        <v>0.540753081427039</v>
      </c>
      <c r="V96" s="29">
        <f t="shared" si="81"/>
        <v>0.556078939169492</v>
      </c>
      <c r="W96" s="29">
        <f t="shared" si="81"/>
        <v>0.558251556841137</v>
      </c>
      <c r="X96" s="29">
        <f t="shared" si="81"/>
        <v>0.556604266940412</v>
      </c>
      <c r="Y96" s="29">
        <f t="shared" si="81"/>
        <v>0.554929412346144</v>
      </c>
    </row>
    <row r="97" customHeight="1" spans="1:1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customHeight="1" spans="1:25">
      <c r="A98" s="8" t="s">
        <v>232</v>
      </c>
      <c r="B98" s="23">
        <v>0.3</v>
      </c>
      <c r="C98" s="23">
        <v>0.3</v>
      </c>
      <c r="D98" s="23">
        <v>0.3</v>
      </c>
      <c r="E98" s="23">
        <v>0.3</v>
      </c>
      <c r="F98" s="23">
        <v>0.3</v>
      </c>
      <c r="G98" s="23">
        <v>0.3</v>
      </c>
      <c r="H98" s="23">
        <v>0.3</v>
      </c>
      <c r="I98" s="23">
        <v>0.3</v>
      </c>
      <c r="J98" s="23">
        <v>0.3</v>
      </c>
      <c r="K98" s="23">
        <v>0.3</v>
      </c>
      <c r="L98" s="23">
        <v>0.3</v>
      </c>
      <c r="M98" s="23">
        <v>0.3</v>
      </c>
      <c r="N98" s="23">
        <v>0.3</v>
      </c>
      <c r="O98" s="23">
        <v>0.3</v>
      </c>
      <c r="P98" s="23">
        <v>0.3</v>
      </c>
      <c r="Q98" s="23">
        <v>0.3</v>
      </c>
      <c r="R98" s="23">
        <v>0.3</v>
      </c>
      <c r="S98" s="23">
        <v>0.3</v>
      </c>
      <c r="T98" s="23">
        <v>0.3</v>
      </c>
      <c r="U98" s="23">
        <v>0.3</v>
      </c>
      <c r="V98" s="23">
        <v>0.3</v>
      </c>
      <c r="W98" s="23">
        <v>0.3</v>
      </c>
      <c r="X98" s="23">
        <v>0.3</v>
      </c>
      <c r="Y98" s="23">
        <v>0.3</v>
      </c>
    </row>
    <row r="99" customHeight="1" spans="1:25">
      <c r="A99" s="10" t="s">
        <v>211</v>
      </c>
      <c r="B99" s="11">
        <f t="shared" ref="B99:Y99" si="82">B89*(1+B$98)</f>
        <v>14488.25</v>
      </c>
      <c r="C99" s="11">
        <f t="shared" si="82"/>
        <v>16933.3125</v>
      </c>
      <c r="D99" s="11">
        <f t="shared" si="82"/>
        <v>19503.2</v>
      </c>
      <c r="E99" s="11">
        <f t="shared" si="82"/>
        <v>21023.0041666667</v>
      </c>
      <c r="F99" s="11">
        <f t="shared" si="82"/>
        <v>22220.0333333333</v>
      </c>
      <c r="G99" s="11">
        <f t="shared" si="82"/>
        <v>20605.2166666667</v>
      </c>
      <c r="H99" s="11">
        <f t="shared" si="82"/>
        <v>15792</v>
      </c>
      <c r="I99" s="11">
        <f t="shared" si="82"/>
        <v>12793.768</v>
      </c>
      <c r="J99" s="11">
        <f t="shared" si="82"/>
        <v>24005.9</v>
      </c>
      <c r="K99" s="11">
        <f t="shared" si="82"/>
        <v>26985.1111111111</v>
      </c>
      <c r="L99" s="11">
        <f t="shared" si="82"/>
        <v>32485.5304347826</v>
      </c>
      <c r="M99" s="11">
        <f t="shared" si="82"/>
        <v>25106.536</v>
      </c>
      <c r="N99" s="24">
        <f t="shared" si="82"/>
        <v>29762.6633262295</v>
      </c>
      <c r="O99" s="24">
        <f t="shared" si="82"/>
        <v>31562.5762266798</v>
      </c>
      <c r="P99" s="24">
        <f t="shared" si="82"/>
        <v>35618.4320608333</v>
      </c>
      <c r="Q99" s="24">
        <f t="shared" si="82"/>
        <v>40671.6119968421</v>
      </c>
      <c r="R99" s="24">
        <f t="shared" si="82"/>
        <v>50152.7107722207</v>
      </c>
      <c r="S99" s="24">
        <f t="shared" si="82"/>
        <v>35506.8193227805</v>
      </c>
      <c r="T99" s="24">
        <f t="shared" si="82"/>
        <v>25955.6721409459</v>
      </c>
      <c r="U99" s="24">
        <f t="shared" si="82"/>
        <v>23191.3724003067</v>
      </c>
      <c r="V99" s="24">
        <f t="shared" si="82"/>
        <v>38553.6274852353</v>
      </c>
      <c r="W99" s="24">
        <f t="shared" si="82"/>
        <v>38349.7357624642</v>
      </c>
      <c r="X99" s="24">
        <f t="shared" si="82"/>
        <v>42693.3158185125</v>
      </c>
      <c r="Y99" s="24">
        <f t="shared" si="82"/>
        <v>38585.3707302378</v>
      </c>
    </row>
    <row r="100" customHeight="1" spans="1:25">
      <c r="A100" s="12" t="s">
        <v>213</v>
      </c>
      <c r="B100" s="11">
        <f t="shared" ref="B100:Y100" si="83">B90*(1+B$98)</f>
        <v>6392.35</v>
      </c>
      <c r="C100" s="11">
        <f t="shared" si="83"/>
        <v>7468.28333333333</v>
      </c>
      <c r="D100" s="11">
        <f t="shared" si="83"/>
        <v>8584.05</v>
      </c>
      <c r="E100" s="11">
        <f t="shared" si="83"/>
        <v>9222.90416666667</v>
      </c>
      <c r="F100" s="11">
        <f t="shared" si="83"/>
        <v>9725.84166666667</v>
      </c>
      <c r="G100" s="11">
        <f t="shared" si="83"/>
        <v>8993.77916666667</v>
      </c>
      <c r="H100" s="11">
        <f t="shared" si="83"/>
        <v>6876</v>
      </c>
      <c r="I100" s="11">
        <f t="shared" si="83"/>
        <v>5569.044</v>
      </c>
      <c r="J100" s="11">
        <f t="shared" si="83"/>
        <v>10442.55</v>
      </c>
      <c r="K100" s="11">
        <f t="shared" si="83"/>
        <v>11724.8444444444</v>
      </c>
      <c r="L100" s="11">
        <f t="shared" si="83"/>
        <v>14163.8391304348</v>
      </c>
      <c r="M100" s="11">
        <f t="shared" si="83"/>
        <v>10997.376</v>
      </c>
      <c r="N100" s="24">
        <f t="shared" si="83"/>
        <v>13131.5625360843</v>
      </c>
      <c r="O100" s="24">
        <f t="shared" si="83"/>
        <v>13920.3869290651</v>
      </c>
      <c r="P100" s="24">
        <f t="shared" si="83"/>
        <v>15676.9351558614</v>
      </c>
      <c r="Q100" s="24">
        <f t="shared" si="83"/>
        <v>17842.8533228132</v>
      </c>
      <c r="R100" s="24">
        <f t="shared" si="83"/>
        <v>21952.1418715879</v>
      </c>
      <c r="S100" s="24">
        <f t="shared" si="83"/>
        <v>15498.0409604924</v>
      </c>
      <c r="T100" s="24">
        <f t="shared" si="83"/>
        <v>11301.3678850775</v>
      </c>
      <c r="U100" s="24">
        <f t="shared" si="83"/>
        <v>10095.0535696515</v>
      </c>
      <c r="V100" s="24">
        <f t="shared" si="83"/>
        <v>16770.8014569728</v>
      </c>
      <c r="W100" s="24">
        <f t="shared" si="83"/>
        <v>16662.6953822436</v>
      </c>
      <c r="X100" s="24">
        <f t="shared" si="83"/>
        <v>18614.4800194119</v>
      </c>
      <c r="Y100" s="24">
        <f t="shared" si="83"/>
        <v>16901.4885215475</v>
      </c>
    </row>
    <row r="101" customHeight="1" spans="1:25">
      <c r="A101" s="10" t="s">
        <v>214</v>
      </c>
      <c r="B101" s="11">
        <f t="shared" ref="B101:Y101" si="84">B91*(1+B$98)</f>
        <v>0</v>
      </c>
      <c r="C101" s="11">
        <f t="shared" si="84"/>
        <v>0</v>
      </c>
      <c r="D101" s="11">
        <f t="shared" si="84"/>
        <v>0</v>
      </c>
      <c r="E101" s="11">
        <f t="shared" si="84"/>
        <v>0</v>
      </c>
      <c r="F101" s="11">
        <f t="shared" si="84"/>
        <v>0</v>
      </c>
      <c r="G101" s="11">
        <f t="shared" si="84"/>
        <v>114.291666666667</v>
      </c>
      <c r="H101" s="11">
        <f t="shared" si="84"/>
        <v>134.9</v>
      </c>
      <c r="I101" s="11">
        <f t="shared" si="84"/>
        <v>148.304</v>
      </c>
      <c r="J101" s="11">
        <f t="shared" si="84"/>
        <v>339.85</v>
      </c>
      <c r="K101" s="11">
        <f t="shared" si="84"/>
        <v>453.266666666667</v>
      </c>
      <c r="L101" s="11">
        <f t="shared" si="84"/>
        <v>658.930434782609</v>
      </c>
      <c r="M101" s="11">
        <f t="shared" si="84"/>
        <v>610.48</v>
      </c>
      <c r="N101" s="24">
        <f t="shared" si="84"/>
        <v>0</v>
      </c>
      <c r="O101" s="24">
        <f t="shared" si="84"/>
        <v>0</v>
      </c>
      <c r="P101" s="24">
        <f t="shared" si="84"/>
        <v>0</v>
      </c>
      <c r="Q101" s="24">
        <f t="shared" si="84"/>
        <v>0</v>
      </c>
      <c r="R101" s="24">
        <f t="shared" si="84"/>
        <v>0</v>
      </c>
      <c r="S101" s="24">
        <f t="shared" si="84"/>
        <v>196.946900587446</v>
      </c>
      <c r="T101" s="24">
        <f t="shared" si="84"/>
        <v>221.721135499848</v>
      </c>
      <c r="U101" s="24">
        <f t="shared" si="84"/>
        <v>268.831926017033</v>
      </c>
      <c r="V101" s="24">
        <f t="shared" si="84"/>
        <v>545.801253061007</v>
      </c>
      <c r="W101" s="24">
        <f t="shared" si="84"/>
        <v>644.157321606962</v>
      </c>
      <c r="X101" s="24">
        <f t="shared" si="84"/>
        <v>865.983247867256</v>
      </c>
      <c r="Y101" s="24">
        <f t="shared" si="84"/>
        <v>938.225692441027</v>
      </c>
    </row>
    <row r="102" customHeight="1" spans="1:25">
      <c r="A102" s="12" t="s">
        <v>215</v>
      </c>
      <c r="B102" s="11">
        <f t="shared" ref="B102:Y102" si="85">B92*(1+B$98)</f>
        <v>0</v>
      </c>
      <c r="C102" s="11">
        <f t="shared" si="85"/>
        <v>0</v>
      </c>
      <c r="D102" s="11">
        <f t="shared" si="85"/>
        <v>0</v>
      </c>
      <c r="E102" s="11">
        <f t="shared" si="85"/>
        <v>0</v>
      </c>
      <c r="F102" s="11">
        <f t="shared" si="85"/>
        <v>0</v>
      </c>
      <c r="G102" s="11">
        <f t="shared" si="85"/>
        <v>0</v>
      </c>
      <c r="H102" s="11">
        <f t="shared" si="85"/>
        <v>1453.1</v>
      </c>
      <c r="I102" s="11">
        <f t="shared" si="85"/>
        <v>1745.952</v>
      </c>
      <c r="J102" s="11">
        <f t="shared" si="85"/>
        <v>2210.1</v>
      </c>
      <c r="K102" s="11">
        <f t="shared" si="85"/>
        <v>2373.36666666667</v>
      </c>
      <c r="L102" s="11">
        <f t="shared" si="85"/>
        <v>2862.31739130435</v>
      </c>
      <c r="M102" s="11">
        <f t="shared" si="85"/>
        <v>2189.2</v>
      </c>
      <c r="N102" s="24">
        <f t="shared" si="85"/>
        <v>0</v>
      </c>
      <c r="O102" s="24">
        <f t="shared" si="85"/>
        <v>0</v>
      </c>
      <c r="P102" s="24">
        <f t="shared" si="85"/>
        <v>0</v>
      </c>
      <c r="Q102" s="24">
        <f t="shared" si="85"/>
        <v>0</v>
      </c>
      <c r="R102" s="24">
        <f t="shared" si="85"/>
        <v>0</v>
      </c>
      <c r="S102" s="24">
        <f t="shared" si="85"/>
        <v>0</v>
      </c>
      <c r="T102" s="24">
        <f t="shared" si="85"/>
        <v>2388.30972568442</v>
      </c>
      <c r="U102" s="24">
        <f t="shared" si="85"/>
        <v>3164.90208553572</v>
      </c>
      <c r="V102" s="24">
        <f t="shared" si="85"/>
        <v>3549.43460170702</v>
      </c>
      <c r="W102" s="24">
        <f t="shared" si="85"/>
        <v>3372.89641533588</v>
      </c>
      <c r="X102" s="24">
        <f t="shared" si="85"/>
        <v>3761.73079904321</v>
      </c>
      <c r="Y102" s="24">
        <f t="shared" si="85"/>
        <v>3364.50610321697</v>
      </c>
    </row>
    <row r="103" customHeight="1" spans="1:25">
      <c r="A103" s="10" t="s">
        <v>216</v>
      </c>
      <c r="B103" s="11">
        <f t="shared" ref="B103:Y103" si="86">B93*(1+B$98)</f>
        <v>3830.9</v>
      </c>
      <c r="C103" s="11">
        <f t="shared" si="86"/>
        <v>4092.18333333333</v>
      </c>
      <c r="D103" s="11">
        <f t="shared" si="86"/>
        <v>5340.7</v>
      </c>
      <c r="E103" s="11">
        <f t="shared" si="86"/>
        <v>5748.49166666667</v>
      </c>
      <c r="F103" s="11">
        <f t="shared" si="86"/>
        <v>6030.75416666667</v>
      </c>
      <c r="G103" s="11">
        <f t="shared" si="86"/>
        <v>5585.55833333333</v>
      </c>
      <c r="H103" s="11">
        <f t="shared" si="86"/>
        <v>4251.35</v>
      </c>
      <c r="I103" s="11">
        <f t="shared" si="86"/>
        <v>3402.1</v>
      </c>
      <c r="J103" s="11">
        <f t="shared" si="86"/>
        <v>6171.55</v>
      </c>
      <c r="K103" s="11">
        <f t="shared" si="86"/>
        <v>6802.03333333333</v>
      </c>
      <c r="L103" s="11">
        <f t="shared" si="86"/>
        <v>8193.1652173913</v>
      </c>
      <c r="M103" s="11">
        <f t="shared" si="86"/>
        <v>6339.164</v>
      </c>
      <c r="N103" s="24">
        <f t="shared" si="86"/>
        <v>7869.67279943765</v>
      </c>
      <c r="O103" s="24">
        <f t="shared" si="86"/>
        <v>7627.55948618334</v>
      </c>
      <c r="P103" s="24">
        <f t="shared" si="86"/>
        <v>9753.64863752063</v>
      </c>
      <c r="Q103" s="24">
        <f t="shared" si="86"/>
        <v>11121.1709221108</v>
      </c>
      <c r="R103" s="24">
        <f t="shared" si="86"/>
        <v>13611.9809057831</v>
      </c>
      <c r="S103" s="24">
        <f t="shared" si="86"/>
        <v>9625.00971316412</v>
      </c>
      <c r="T103" s="24">
        <f t="shared" si="86"/>
        <v>6987.50296076559</v>
      </c>
      <c r="U103" s="24">
        <f t="shared" si="86"/>
        <v>6167.01569413196</v>
      </c>
      <c r="V103" s="24">
        <f t="shared" si="86"/>
        <v>9911.54839878963</v>
      </c>
      <c r="W103" s="24">
        <f t="shared" si="86"/>
        <v>9666.67062835993</v>
      </c>
      <c r="X103" s="24">
        <f t="shared" si="86"/>
        <v>10767.667496813</v>
      </c>
      <c r="Y103" s="24">
        <f t="shared" si="86"/>
        <v>9742.44288657652</v>
      </c>
    </row>
    <row r="104" customHeight="1" spans="1:25">
      <c r="A104" s="19" t="s">
        <v>217</v>
      </c>
      <c r="B104" s="20">
        <f t="shared" ref="B104:Y104" si="87">SUM(B99:B103)</f>
        <v>24711.5</v>
      </c>
      <c r="C104" s="20">
        <f t="shared" si="87"/>
        <v>28493.7791666667</v>
      </c>
      <c r="D104" s="20">
        <f t="shared" si="87"/>
        <v>33427.95</v>
      </c>
      <c r="E104" s="20">
        <f t="shared" si="87"/>
        <v>35994.4</v>
      </c>
      <c r="F104" s="20">
        <f t="shared" si="87"/>
        <v>37976.6291666667</v>
      </c>
      <c r="G104" s="20">
        <f t="shared" si="87"/>
        <v>35298.8458333333</v>
      </c>
      <c r="H104" s="20">
        <f t="shared" si="87"/>
        <v>28507.35</v>
      </c>
      <c r="I104" s="20">
        <f t="shared" si="87"/>
        <v>23659.168</v>
      </c>
      <c r="J104" s="20">
        <f t="shared" si="87"/>
        <v>43169.95</v>
      </c>
      <c r="K104" s="20">
        <f t="shared" si="87"/>
        <v>48338.6222222222</v>
      </c>
      <c r="L104" s="20">
        <f t="shared" si="87"/>
        <v>58363.7826086957</v>
      </c>
      <c r="M104" s="20">
        <f t="shared" si="87"/>
        <v>45242.756</v>
      </c>
      <c r="N104" s="28">
        <f t="shared" si="87"/>
        <v>50763.8986617514</v>
      </c>
      <c r="O104" s="28">
        <f t="shared" si="87"/>
        <v>53110.5226419282</v>
      </c>
      <c r="P104" s="28">
        <f t="shared" si="87"/>
        <v>61049.0158542153</v>
      </c>
      <c r="Q104" s="28">
        <f t="shared" si="87"/>
        <v>69635.6362417661</v>
      </c>
      <c r="R104" s="28">
        <f t="shared" si="87"/>
        <v>85716.8335495918</v>
      </c>
      <c r="S104" s="28">
        <f t="shared" si="87"/>
        <v>60826.8168970245</v>
      </c>
      <c r="T104" s="28">
        <f t="shared" si="87"/>
        <v>46854.5738479732</v>
      </c>
      <c r="U104" s="28">
        <f t="shared" si="87"/>
        <v>42887.1756756429</v>
      </c>
      <c r="V104" s="28">
        <f t="shared" si="87"/>
        <v>69331.2131957658</v>
      </c>
      <c r="W104" s="28">
        <f t="shared" si="87"/>
        <v>68696.1555100105</v>
      </c>
      <c r="X104" s="28">
        <f t="shared" si="87"/>
        <v>76703.1773816478</v>
      </c>
      <c r="Y104" s="28">
        <f t="shared" si="87"/>
        <v>69532.0339340199</v>
      </c>
    </row>
    <row r="105" customHeight="1" spans="1: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customHeight="1" spans="1: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customHeight="1" spans="1:25">
      <c r="A107" s="8" t="s">
        <v>233</v>
      </c>
      <c r="B107" s="9">
        <f t="shared" ref="B107:Y107" si="88">B80</f>
        <v>45658</v>
      </c>
      <c r="C107" s="9">
        <f t="shared" si="88"/>
        <v>45689</v>
      </c>
      <c r="D107" s="9">
        <f t="shared" si="88"/>
        <v>45717</v>
      </c>
      <c r="E107" s="9">
        <f t="shared" si="88"/>
        <v>45748</v>
      </c>
      <c r="F107" s="9">
        <f t="shared" si="88"/>
        <v>45778</v>
      </c>
      <c r="G107" s="9">
        <f t="shared" si="88"/>
        <v>45809</v>
      </c>
      <c r="H107" s="9">
        <f t="shared" si="88"/>
        <v>45839</v>
      </c>
      <c r="I107" s="9">
        <f t="shared" si="88"/>
        <v>45870</v>
      </c>
      <c r="J107" s="9">
        <f t="shared" si="88"/>
        <v>45901</v>
      </c>
      <c r="K107" s="9">
        <f t="shared" si="88"/>
        <v>45931</v>
      </c>
      <c r="L107" s="9">
        <f t="shared" si="88"/>
        <v>45962</v>
      </c>
      <c r="M107" s="9">
        <f t="shared" si="88"/>
        <v>45992</v>
      </c>
      <c r="N107" s="9">
        <f t="shared" si="88"/>
        <v>46023</v>
      </c>
      <c r="O107" s="9">
        <f t="shared" si="88"/>
        <v>46054</v>
      </c>
      <c r="P107" s="9">
        <f t="shared" si="88"/>
        <v>46082</v>
      </c>
      <c r="Q107" s="9">
        <f t="shared" si="88"/>
        <v>46113</v>
      </c>
      <c r="R107" s="9">
        <f t="shared" si="88"/>
        <v>46143</v>
      </c>
      <c r="S107" s="9">
        <f t="shared" si="88"/>
        <v>46174</v>
      </c>
      <c r="T107" s="9">
        <f t="shared" si="88"/>
        <v>46204</v>
      </c>
      <c r="U107" s="9">
        <f t="shared" si="88"/>
        <v>46235</v>
      </c>
      <c r="V107" s="9">
        <f t="shared" si="88"/>
        <v>46266</v>
      </c>
      <c r="W107" s="9">
        <f t="shared" si="88"/>
        <v>46296</v>
      </c>
      <c r="X107" s="9">
        <f t="shared" si="88"/>
        <v>46327</v>
      </c>
      <c r="Y107" s="9">
        <f t="shared" si="88"/>
        <v>46357</v>
      </c>
    </row>
    <row r="108" customHeight="1" spans="1:25">
      <c r="A108" s="10" t="s">
        <v>234</v>
      </c>
      <c r="B108" s="11">
        <f t="shared" ref="B108:Y108" si="89">SUM(B83:B85)</f>
        <v>76618</v>
      </c>
      <c r="C108" s="11">
        <f t="shared" si="89"/>
        <v>75548</v>
      </c>
      <c r="D108" s="11">
        <f t="shared" si="89"/>
        <v>106814</v>
      </c>
      <c r="E108" s="11">
        <f t="shared" si="89"/>
        <v>106126</v>
      </c>
      <c r="F108" s="11">
        <f t="shared" si="89"/>
        <v>111337</v>
      </c>
      <c r="G108" s="11">
        <f t="shared" si="89"/>
        <v>105228</v>
      </c>
      <c r="H108" s="11">
        <f t="shared" si="89"/>
        <v>116787</v>
      </c>
      <c r="I108" s="11">
        <f t="shared" si="89"/>
        <v>101853</v>
      </c>
      <c r="J108" s="11">
        <f t="shared" si="89"/>
        <v>174430</v>
      </c>
      <c r="K108" s="11">
        <f t="shared" si="89"/>
        <v>199980</v>
      </c>
      <c r="L108" s="11">
        <f t="shared" si="89"/>
        <v>207255</v>
      </c>
      <c r="M108" s="11">
        <f t="shared" si="89"/>
        <v>175747</v>
      </c>
      <c r="N108" s="24">
        <f t="shared" si="89"/>
        <v>157393.455988753</v>
      </c>
      <c r="O108" s="24">
        <f t="shared" si="89"/>
        <v>140816.482821846</v>
      </c>
      <c r="P108" s="24">
        <f t="shared" si="89"/>
        <v>195072.972750413</v>
      </c>
      <c r="Q108" s="24">
        <f t="shared" si="89"/>
        <v>205313.924715891</v>
      </c>
      <c r="R108" s="24">
        <f t="shared" si="89"/>
        <v>230356.599944023</v>
      </c>
      <c r="S108" s="24">
        <f t="shared" si="89"/>
        <v>196439.132275031</v>
      </c>
      <c r="T108" s="24">
        <f t="shared" si="89"/>
        <v>191950.676438997</v>
      </c>
      <c r="U108" s="24">
        <f t="shared" si="89"/>
        <v>184629.802032398</v>
      </c>
      <c r="V108" s="24">
        <f t="shared" si="89"/>
        <v>280135.685071153</v>
      </c>
      <c r="W108" s="24">
        <f t="shared" si="89"/>
        <v>284200.429125519</v>
      </c>
      <c r="X108" s="24">
        <f t="shared" si="89"/>
        <v>284222.42849951</v>
      </c>
      <c r="Y108" s="24">
        <f t="shared" si="89"/>
        <v>270099.513119895</v>
      </c>
    </row>
    <row r="109" customHeight="1" spans="1:25">
      <c r="A109" s="12" t="s">
        <v>207</v>
      </c>
      <c r="B109" s="13">
        <f t="shared" ref="B109:Y109" si="90">SUM(B91:B93)</f>
        <v>2946.84615384615</v>
      </c>
      <c r="C109" s="13">
        <f t="shared" si="90"/>
        <v>3147.83333333333</v>
      </c>
      <c r="D109" s="13">
        <f t="shared" si="90"/>
        <v>4108.23076923077</v>
      </c>
      <c r="E109" s="13">
        <f t="shared" si="90"/>
        <v>4421.91666666667</v>
      </c>
      <c r="F109" s="13">
        <f t="shared" si="90"/>
        <v>4639.04166666667</v>
      </c>
      <c r="G109" s="13">
        <f t="shared" si="90"/>
        <v>4384.5</v>
      </c>
      <c r="H109" s="13">
        <f t="shared" si="90"/>
        <v>4491.80769230769</v>
      </c>
      <c r="I109" s="13">
        <f t="shared" si="90"/>
        <v>4074.12</v>
      </c>
      <c r="J109" s="13">
        <f t="shared" si="90"/>
        <v>6708.84615384615</v>
      </c>
      <c r="K109" s="13">
        <f t="shared" si="90"/>
        <v>7406.66666666667</v>
      </c>
      <c r="L109" s="13">
        <f t="shared" si="90"/>
        <v>9011.08695652174</v>
      </c>
      <c r="M109" s="13">
        <f t="shared" si="90"/>
        <v>7029.88</v>
      </c>
      <c r="N109" s="26">
        <f t="shared" si="90"/>
        <v>6053.59446110588</v>
      </c>
      <c r="O109" s="26">
        <f t="shared" si="90"/>
        <v>5867.35345091026</v>
      </c>
      <c r="P109" s="26">
        <f t="shared" si="90"/>
        <v>7502.80664424664</v>
      </c>
      <c r="Q109" s="26">
        <f t="shared" si="90"/>
        <v>8554.74686316213</v>
      </c>
      <c r="R109" s="26">
        <f t="shared" si="90"/>
        <v>10470.7545429101</v>
      </c>
      <c r="S109" s="26">
        <f t="shared" si="90"/>
        <v>7555.35124134736</v>
      </c>
      <c r="T109" s="26">
        <f t="shared" si="90"/>
        <v>7382.71832457682</v>
      </c>
      <c r="U109" s="26">
        <f t="shared" si="90"/>
        <v>7385.19208129593</v>
      </c>
      <c r="V109" s="26">
        <f t="shared" si="90"/>
        <v>10774.4494258136</v>
      </c>
      <c r="W109" s="26">
        <f t="shared" si="90"/>
        <v>10525.9418194637</v>
      </c>
      <c r="X109" s="26">
        <f t="shared" si="90"/>
        <v>11842.6011874796</v>
      </c>
      <c r="Y109" s="26">
        <f t="shared" si="90"/>
        <v>10803.9805247958</v>
      </c>
    </row>
    <row r="110" customHeight="1" spans="1:25">
      <c r="A110" s="10" t="s">
        <v>232</v>
      </c>
      <c r="B110" s="11">
        <f t="shared" ref="B110:Y110" si="91">SUM(B101:B103)</f>
        <v>3830.9</v>
      </c>
      <c r="C110" s="11">
        <f t="shared" si="91"/>
        <v>4092.18333333333</v>
      </c>
      <c r="D110" s="11">
        <f t="shared" si="91"/>
        <v>5340.7</v>
      </c>
      <c r="E110" s="11">
        <f t="shared" si="91"/>
        <v>5748.49166666667</v>
      </c>
      <c r="F110" s="11">
        <f t="shared" si="91"/>
        <v>6030.75416666667</v>
      </c>
      <c r="G110" s="11">
        <f t="shared" si="91"/>
        <v>5699.85</v>
      </c>
      <c r="H110" s="11">
        <f t="shared" si="91"/>
        <v>5839.35</v>
      </c>
      <c r="I110" s="11">
        <f t="shared" si="91"/>
        <v>5296.356</v>
      </c>
      <c r="J110" s="11">
        <f t="shared" si="91"/>
        <v>8721.5</v>
      </c>
      <c r="K110" s="11">
        <f t="shared" si="91"/>
        <v>9628.66666666667</v>
      </c>
      <c r="L110" s="11">
        <f t="shared" si="91"/>
        <v>11714.4130434783</v>
      </c>
      <c r="M110" s="11">
        <f t="shared" si="91"/>
        <v>9138.844</v>
      </c>
      <c r="N110" s="24">
        <f t="shared" si="91"/>
        <v>7869.67279943765</v>
      </c>
      <c r="O110" s="24">
        <f t="shared" si="91"/>
        <v>7627.55948618334</v>
      </c>
      <c r="P110" s="24">
        <f t="shared" si="91"/>
        <v>9753.64863752063</v>
      </c>
      <c r="Q110" s="24">
        <f t="shared" si="91"/>
        <v>11121.1709221108</v>
      </c>
      <c r="R110" s="24">
        <f t="shared" si="91"/>
        <v>13611.9809057831</v>
      </c>
      <c r="S110" s="24">
        <f t="shared" si="91"/>
        <v>9821.95661375157</v>
      </c>
      <c r="T110" s="24">
        <f t="shared" si="91"/>
        <v>9597.53382194986</v>
      </c>
      <c r="U110" s="24">
        <f t="shared" si="91"/>
        <v>9600.74970568472</v>
      </c>
      <c r="V110" s="24">
        <f t="shared" si="91"/>
        <v>14006.7842535577</v>
      </c>
      <c r="W110" s="24">
        <f t="shared" si="91"/>
        <v>13683.7243653028</v>
      </c>
      <c r="X110" s="24">
        <f t="shared" si="91"/>
        <v>15395.3815437235</v>
      </c>
      <c r="Y110" s="24">
        <f t="shared" si="91"/>
        <v>14045.1746822345</v>
      </c>
    </row>
    <row r="111" customHeight="1" spans="1:25">
      <c r="A111" s="34" t="s">
        <v>235</v>
      </c>
      <c r="B111" s="35">
        <f t="shared" ref="B111:Y111" si="92">B108/B86</f>
        <v>0.155025302036101</v>
      </c>
      <c r="C111" s="35">
        <f t="shared" si="92"/>
        <v>0.143616728037275</v>
      </c>
      <c r="D111" s="35">
        <f t="shared" si="92"/>
        <v>0.15976726097882</v>
      </c>
      <c r="E111" s="35">
        <f t="shared" si="92"/>
        <v>0.159705407434941</v>
      </c>
      <c r="F111" s="35">
        <f t="shared" si="92"/>
        <v>0.158801497058941</v>
      </c>
      <c r="G111" s="35">
        <f t="shared" si="92"/>
        <v>0.161474118074918</v>
      </c>
      <c r="H111" s="35">
        <f t="shared" si="92"/>
        <v>0.204836647390936</v>
      </c>
      <c r="I111" s="35">
        <f t="shared" si="92"/>
        <v>0.223860619274524</v>
      </c>
      <c r="J111" s="35">
        <f t="shared" si="92"/>
        <v>0.202027338492792</v>
      </c>
      <c r="K111" s="35">
        <f t="shared" si="92"/>
        <v>0.199191798055096</v>
      </c>
      <c r="L111" s="35">
        <f t="shared" si="92"/>
        <v>0.200713933617344</v>
      </c>
      <c r="M111" s="35">
        <f t="shared" si="92"/>
        <v>0.201995740489372</v>
      </c>
      <c r="N111" s="36">
        <f t="shared" si="92"/>
        <v>0.155025302036101</v>
      </c>
      <c r="O111" s="36">
        <f t="shared" si="92"/>
        <v>0.143616728037275</v>
      </c>
      <c r="P111" s="36">
        <f t="shared" si="92"/>
        <v>0.15976726097882</v>
      </c>
      <c r="Q111" s="36">
        <f t="shared" si="92"/>
        <v>0.159705407434941</v>
      </c>
      <c r="R111" s="36">
        <f t="shared" si="92"/>
        <v>0.158801497058941</v>
      </c>
      <c r="S111" s="36">
        <f t="shared" si="92"/>
        <v>0.161474118074918</v>
      </c>
      <c r="T111" s="36">
        <f t="shared" si="92"/>
        <v>0.204836647390936</v>
      </c>
      <c r="U111" s="36">
        <f t="shared" si="92"/>
        <v>0.223860619274524</v>
      </c>
      <c r="V111" s="36">
        <f t="shared" si="92"/>
        <v>0.202027338492792</v>
      </c>
      <c r="W111" s="36">
        <f t="shared" si="92"/>
        <v>0.199191798055096</v>
      </c>
      <c r="X111" s="36">
        <f t="shared" si="92"/>
        <v>0.200713933617344</v>
      </c>
      <c r="Y111" s="36">
        <f t="shared" si="92"/>
        <v>0.201995740489372</v>
      </c>
    </row>
  </sheetData>
  <pageMargins left="0.75" right="0.75" top="1" bottom="1" header="0.5" footer="0.5"/>
  <headerFooter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ROI Model</vt:lpstr>
      <vt:lpstr>Cumulative Net Benefit Analysis</vt:lpstr>
      <vt:lpstr>LYO2 ROI Model old</vt:lpstr>
      <vt:lpstr>LYO2 ROI Model (old)</vt:lpstr>
      <vt:lpstr>PAR3 ROI Model (old)</vt:lpstr>
      <vt:lpstr>MAD1 ROI Model</vt:lpstr>
      <vt:lpstr>Tx 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</cp:lastModifiedBy>
  <dcterms:created xsi:type="dcterms:W3CDTF">2025-12-14T17:56:00Z</dcterms:created>
  <dcterms:modified xsi:type="dcterms:W3CDTF">2025-12-14T17:39:50Z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38092A6128D0EA3156E83E6971CBBD64_43</vt:lpwstr>
  </property>
  <property fmtid="{D5CDD505-2E9C-101B-9397-08002B2CF9AE}" pid="3" name="KSOProductBuildVer">
    <vt:lpwstr>2052-12.1.22218.22218</vt:lpwstr>
  </property>
</Properties>
</file>